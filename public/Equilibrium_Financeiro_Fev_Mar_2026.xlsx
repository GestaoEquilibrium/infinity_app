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⚙ Configurações" sheetId="1" state="visible" r:id="rId3"/>
    <sheet name="🧪 Testes por Profissional" sheetId="2" state="visible" r:id="rId4"/>
    <sheet name="👨‍⚕️ Wessilon" sheetId="3" state="visible" r:id="rId5"/>
    <sheet name="📊 Resumo por Convênio" sheetId="4" state="visible" r:id="rId6"/>
    <sheet name="📅 Fev vs Ma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<sst xmlns="http://schemas.openxmlformats.org/spreadsheetml/2006/main" count="179" uniqueCount="69">
  <si>
    <t xml:space="preserve">EQUILIBRIUM — CONFIGURAÇÕES FINANCEIRAS (preencha as células azuis)</t>
  </si>
  <si>
    <t xml:space="preserve">Valores são usados automaticamente em todas as abas</t>
  </si>
  <si>
    <t xml:space="preserve">A · VALOR RECEBIDO POR SESSÃO (R$) — por convênio</t>
  </si>
  <si>
    <t xml:space="preserve">Ndi Minas</t>
  </si>
  <si>
    <t xml:space="preserve">← Valor que o convênio paga por sessão</t>
  </si>
  <si>
    <t xml:space="preserve">Unimed</t>
  </si>
  <si>
    <t xml:space="preserve">Particular</t>
  </si>
  <si>
    <t xml:space="preserve">Geap</t>
  </si>
  <si>
    <t xml:space="preserve">Hapvida</t>
  </si>
  <si>
    <t xml:space="preserve">Usisaude</t>
  </si>
  <si>
    <t xml:space="preserve">B · VALOR WESSILON — por procedimento + convênio</t>
  </si>
  <si>
    <t xml:space="preserve">#</t>
  </si>
  <si>
    <t xml:space="preserve">Procedimento</t>
  </si>
  <si>
    <t xml:space="preserve">Anamnese</t>
  </si>
  <si>
    <t xml:space="preserve">Devolutiva</t>
  </si>
  <si>
    <t xml:space="preserve">Psicoterapia</t>
  </si>
  <si>
    <t xml:space="preserve">Avaliação</t>
  </si>
  <si>
    <t xml:space="preserve">C · REMUNERAÇÃO DOS PROFISSIONAIS DE TESTES</t>
  </si>
  <si>
    <t xml:space="preserve">Profissional</t>
  </si>
  <si>
    <t xml:space="preserve">Tipo</t>
  </si>
  <si>
    <t xml:space="preserve">% ou R$/Sessão</t>
  </si>
  <si>
    <t xml:space="preserve">Obs.</t>
  </si>
  <si>
    <t xml:space="preserve">Emily Ferreira</t>
  </si>
  <si>
    <t xml:space="preserve">pct</t>
  </si>
  <si>
    <t xml:space="preserve">% do valor do convênio por sessão</t>
  </si>
  <si>
    <t xml:space="preserve">Karolina Oliveira</t>
  </si>
  <si>
    <t xml:space="preserve">Mariana Pereira</t>
  </si>
  <si>
    <t xml:space="preserve">Pâmela Dutra</t>
  </si>
  <si>
    <t xml:space="preserve">Taís Souza</t>
  </si>
  <si>
    <t xml:space="preserve">Wessilon Marques</t>
  </si>
  <si>
    <t xml:space="preserve">prolabore</t>
  </si>
  <si>
    <t xml:space="preserve">Pró-labore — ver Wessilon</t>
  </si>
  <si>
    <t xml:space="preserve">LEGENDA</t>
  </si>
  <si>
    <t xml:space="preserve"> Célula azul = entrada (você deve preencher)</t>
  </si>
  <si>
    <t xml:space="preserve"> Célula preta = fórmula (calculado automaticamente)</t>
  </si>
  <si>
    <t xml:space="preserve"> Célula verde = resultado positivo</t>
  </si>
  <si>
    <t xml:space="preserve"> Célula vermelha = atenção / custo elevado</t>
  </si>
  <si>
    <t xml:space="preserve">TESTES — SESSÕES REALIZADAS, RECEITA E PAGAMENTO POR PROFISSIONAL</t>
  </si>
  <si>
    <t xml:space="preserve">Total Sess.</t>
  </si>
  <si>
    <t xml:space="preserve">Receita Total</t>
  </si>
  <si>
    <t xml:space="preserve">Custo Profis.</t>
  </si>
  <si>
    <t xml:space="preserve">Margem Líquida</t>
  </si>
  <si>
    <t xml:space="preserve">Fev</t>
  </si>
  <si>
    <t xml:space="preserve">Mar</t>
  </si>
  <si>
    <t xml:space="preserve">Custo Prof.</t>
  </si>
  <si>
    <t xml:space="preserve">TOTAL CLÍNICA</t>
  </si>
  <si>
    <t xml:space="preserve">WESSILON — ANAMNESES, DEVOLUTIVAS E SESSÕES POR CONVÊNIO</t>
  </si>
  <si>
    <t xml:space="preserve">Valor/Sessão</t>
  </si>
  <si>
    <t xml:space="preserve">TOTAL</t>
  </si>
  <si>
    <t xml:space="preserve">RESUMO FINANCEIRO — RECEITA E CUSTO POR CONVÊNIO</t>
  </si>
  <si>
    <t xml:space="preserve">Convênio</t>
  </si>
  <si>
    <t xml:space="preserve">Sess. Testes</t>
  </si>
  <si>
    <t xml:space="preserve">Sess. Wessilon</t>
  </si>
  <si>
    <t xml:space="preserve">Total Sessões</t>
  </si>
  <si>
    <t xml:space="preserve">Receita Testes</t>
  </si>
  <si>
    <t xml:space="preserve">Receita Wessilon</t>
  </si>
  <si>
    <t xml:space="preserve">Margem Clínica</t>
  </si>
  <si>
    <t xml:space="preserve">Margem %</t>
  </si>
  <si>
    <t xml:space="preserve">TOTAL GERAL</t>
  </si>
  <si>
    <t xml:space="preserve">COMPARATIVO FEVEREIRO vs MARÇO — TESTES E WESSILON</t>
  </si>
  <si>
    <t xml:space="preserve">Sess Fev</t>
  </si>
  <si>
    <t xml:space="preserve">Sess Mar</t>
  </si>
  <si>
    <t xml:space="preserve">Δ Sessões</t>
  </si>
  <si>
    <t xml:space="preserve">Rec Fev</t>
  </si>
  <si>
    <t xml:space="preserve">Rec Mar</t>
  </si>
  <si>
    <t xml:space="preserve">Δ Receita</t>
  </si>
  <si>
    <t xml:space="preserve">Custo Fev</t>
  </si>
  <si>
    <t xml:space="preserve">Custo Mar</t>
  </si>
  <si>
    <t xml:space="preserve">Δ Custo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</si>
</sst>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$ &quot;#,##0.00"/>
    <numFmt numFmtId="166" formatCode="0.0%"/>
    <numFmt numFmtId="167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6100"/>
      <name val="Arial"/>
      <family val="0"/>
      <charset val="1"/>
    </font>
    <font>
      <sz val="10"/>
      <color rgb="FF9C000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03D79"/>
        <bgColor rgb="FF333399"/>
      </patternFill>
    </fill>
    <fill>
      <patternFill patternType="solid">
        <fgColor rgb="FF0064AA"/>
        <bgColor rgb="FF008080"/>
      </patternFill>
    </fill>
    <fill>
      <patternFill patternType="solid">
        <fgColor rgb="FF00AFB9"/>
        <bgColor rgb="FF33CCCC"/>
      </patternFill>
    </fill>
    <fill>
      <patternFill patternType="solid">
        <fgColor rgb="FFF3F3F3"/>
        <bgColor rgb="FFE0F7F8"/>
      </patternFill>
    </fill>
    <fill>
      <patternFill patternType="solid">
        <fgColor rgb="FFDCE6F1"/>
        <bgColor rgb="FFD5F5E3"/>
      </patternFill>
    </fill>
    <fill>
      <patternFill patternType="solid">
        <fgColor rgb="FFFFFFFF"/>
        <bgColor rgb="FFF3F3F3"/>
      </patternFill>
    </fill>
    <fill>
      <patternFill patternType="solid">
        <fgColor rgb="FFD5F5E3"/>
        <bgColor rgb="FFE0F7F8"/>
      </patternFill>
    </fill>
    <fill>
      <patternFill patternType="solid">
        <fgColor rgb="FFFFC7CE"/>
        <bgColor rgb="FFCCCCFF"/>
      </patternFill>
    </fill>
    <fill>
      <patternFill patternType="solid">
        <fgColor rgb="FFE0F7F8"/>
        <bgColor rgb="FFD5F5E3"/>
      </patternFill>
    </fill>
    <fill>
      <patternFill patternType="solid">
        <fgColor rgb="FFFFF2CC"/>
        <bgColor rgb="FFF3F3F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003D79"/>
      </left>
      <right/>
      <top style="medium">
        <color rgb="FF003D79"/>
      </top>
      <bottom style="medium">
        <color rgb="FF003D79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0F7F8"/>
      <rgbColor rgb="FF660066"/>
      <rgbColor rgb="FFFF8080"/>
      <rgbColor rgb="FF0064A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AFB9"/>
      <rgbColor rgb="FFDCE6F1"/>
      <rgbColor rgb="FFD5F5E3"/>
      <rgbColor rgb="FFF3F3F3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D79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4" min="3" style="0" width="14"/>
    <col collapsed="false" customWidth="true" hidden="false" outlineLevel="0" max="5" min="5" style="0" width="30"/>
    <col collapsed="false" customWidth="true" hidden="false" outlineLevel="0" max="8" min="6" style="0" width="14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/>
    </row>
    <row r="5" customFormat="false" ht="19.5" hidden="false" customHeight="true" outlineLevel="0" collapsed="false">
      <c r="A5" s="4" t="n">
        <v>1</v>
      </c>
      <c r="B5" s="5" t="s">
        <v>3</v>
      </c>
      <c r="C5" s="6" t="n">
        <v>160</v>
      </c>
      <c r="D5" s="7" t="s">
        <v>4</v>
      </c>
    </row>
    <row r="6" customFormat="false" ht="19.5" hidden="false" customHeight="true" outlineLevel="0" collapsed="false">
      <c r="A6" s="4" t="n">
        <v>2</v>
      </c>
      <c r="B6" s="5" t="s">
        <v>5</v>
      </c>
      <c r="C6" s="6" t="n">
        <v>180</v>
      </c>
      <c r="D6" s="7" t="s">
        <v>4</v>
      </c>
    </row>
    <row r="7" customFormat="false" ht="19.5" hidden="false" customHeight="true" outlineLevel="0" collapsed="false">
      <c r="A7" s="4" t="n">
        <v>3</v>
      </c>
      <c r="B7" s="5" t="s">
        <v>6</v>
      </c>
      <c r="C7" s="6" t="n">
        <v>350</v>
      </c>
      <c r="D7" s="7" t="s">
        <v>4</v>
      </c>
    </row>
    <row r="8" customFormat="false" ht="19.5" hidden="false" customHeight="true" outlineLevel="0" collapsed="false">
      <c r="A8" s="4" t="n">
        <v>4</v>
      </c>
      <c r="B8" s="5" t="s">
        <v>7</v>
      </c>
      <c r="C8" s="6" t="n">
        <v>160</v>
      </c>
      <c r="D8" s="7" t="s">
        <v>4</v>
      </c>
    </row>
    <row r="9" customFormat="false" ht="19.5" hidden="false" customHeight="true" outlineLevel="0" collapsed="false">
      <c r="A9" s="4" t="n">
        <v>5</v>
      </c>
      <c r="B9" s="5" t="s">
        <v>8</v>
      </c>
      <c r="C9" s="6" t="n">
        <v>140</v>
      </c>
      <c r="D9" s="7" t="s">
        <v>4</v>
      </c>
    </row>
    <row r="10" customFormat="false" ht="19.5" hidden="false" customHeight="true" outlineLevel="0" collapsed="false">
      <c r="A10" s="4" t="n">
        <v>6</v>
      </c>
      <c r="B10" s="5" t="s">
        <v>9</v>
      </c>
      <c r="C10" s="6" t="n">
        <v>140</v>
      </c>
      <c r="D10" s="7" t="s">
        <v>4</v>
      </c>
    </row>
    <row r="12" customFormat="false" ht="7.5" hidden="false" customHeight="true" outlineLevel="0" collapsed="false"/>
    <row r="13" customFormat="false" ht="21.75" hidden="false" customHeight="true" outlineLevel="0" collapsed="false">
      <c r="A13" s="3" t="s">
        <v>10</v>
      </c>
      <c r="B13" s="3"/>
      <c r="C13" s="3"/>
      <c r="D13" s="3"/>
      <c r="E13" s="3"/>
    </row>
    <row r="14" customFormat="false" ht="21.75" hidden="false" customHeight="true" outlineLevel="0" collapsed="false">
      <c r="A14" s="8" t="s">
        <v>11</v>
      </c>
      <c r="B14" s="8" t="s">
        <v>12</v>
      </c>
      <c r="C14" s="4" t="s">
        <v>3</v>
      </c>
      <c r="D14" s="4" t="s">
        <v>5</v>
      </c>
      <c r="E14" s="4" t="s">
        <v>6</v>
      </c>
      <c r="F14" s="4" t="s">
        <v>7</v>
      </c>
      <c r="G14" s="4" t="s">
        <v>8</v>
      </c>
      <c r="H14" s="4" t="s">
        <v>9</v>
      </c>
    </row>
    <row r="15" customFormat="false" ht="19.5" hidden="false" customHeight="true" outlineLevel="0" collapsed="false">
      <c r="A15" s="9" t="n">
        <v>1</v>
      </c>
      <c r="B15" s="5" t="s">
        <v>13</v>
      </c>
      <c r="C15" s="6" t="n">
        <v>160</v>
      </c>
      <c r="D15" s="6" t="n">
        <v>180</v>
      </c>
      <c r="E15" s="6" t="n">
        <v>320</v>
      </c>
      <c r="F15" s="6" t="n">
        <v>160</v>
      </c>
      <c r="G15" s="6" t="n">
        <v>140</v>
      </c>
      <c r="H15" s="6" t="n">
        <v>140</v>
      </c>
    </row>
    <row r="16" customFormat="false" ht="19.5" hidden="false" customHeight="true" outlineLevel="0" collapsed="false">
      <c r="A16" s="9" t="n">
        <v>2</v>
      </c>
      <c r="B16" s="5" t="s">
        <v>14</v>
      </c>
      <c r="C16" s="6" t="n">
        <v>160</v>
      </c>
      <c r="D16" s="6" t="n">
        <v>180</v>
      </c>
      <c r="E16" s="6" t="n">
        <v>320</v>
      </c>
      <c r="F16" s="6" t="n">
        <v>160</v>
      </c>
      <c r="G16" s="6" t="n">
        <v>140</v>
      </c>
      <c r="H16" s="6" t="n">
        <v>140</v>
      </c>
    </row>
    <row r="17" customFormat="false" ht="19.5" hidden="false" customHeight="true" outlineLevel="0" collapsed="false">
      <c r="A17" s="9" t="n">
        <v>3</v>
      </c>
      <c r="B17" s="5" t="s">
        <v>15</v>
      </c>
      <c r="C17" s="6" t="n">
        <v>0</v>
      </c>
      <c r="D17" s="6" t="n">
        <v>0</v>
      </c>
      <c r="E17" s="6" t="n">
        <v>220</v>
      </c>
      <c r="F17" s="6" t="n">
        <v>0</v>
      </c>
      <c r="G17" s="6" t="n">
        <v>0</v>
      </c>
      <c r="H17" s="6" t="n">
        <v>0</v>
      </c>
    </row>
    <row r="18" customFormat="false" ht="19.5" hidden="false" customHeight="true" outlineLevel="0" collapsed="false">
      <c r="A18" s="9" t="n">
        <v>4</v>
      </c>
      <c r="B18" s="5" t="s">
        <v>16</v>
      </c>
      <c r="C18" s="6" t="n">
        <v>160</v>
      </c>
      <c r="D18" s="6" t="n">
        <v>180</v>
      </c>
      <c r="E18" s="6" t="n">
        <v>350</v>
      </c>
      <c r="F18" s="6" t="n">
        <v>160</v>
      </c>
      <c r="G18" s="6" t="n">
        <v>140</v>
      </c>
      <c r="H18" s="6" t="n">
        <v>140</v>
      </c>
    </row>
    <row r="20" customFormat="false" ht="7.5" hidden="false" customHeight="true" outlineLevel="0" collapsed="false"/>
    <row r="21" customFormat="false" ht="21.75" hidden="false" customHeight="true" outlineLevel="0" collapsed="false">
      <c r="A21" s="3" t="s">
        <v>17</v>
      </c>
      <c r="B21" s="3"/>
      <c r="C21" s="3"/>
      <c r="D21" s="3"/>
      <c r="E21" s="3"/>
    </row>
    <row r="22" customFormat="false" ht="15" hidden="false" customHeight="false" outlineLevel="0" collapsed="false">
      <c r="A22" s="8" t="s">
        <v>11</v>
      </c>
      <c r="B22" s="8" t="s">
        <v>18</v>
      </c>
      <c r="C22" s="8" t="s">
        <v>19</v>
      </c>
      <c r="D22" s="8" t="s">
        <v>20</v>
      </c>
      <c r="E22" s="8" t="s">
        <v>21</v>
      </c>
    </row>
    <row r="23" customFormat="false" ht="19.5" hidden="false" customHeight="true" outlineLevel="0" collapsed="false">
      <c r="A23" s="9" t="n">
        <v>1</v>
      </c>
      <c r="B23" s="5" t="s">
        <v>22</v>
      </c>
      <c r="C23" s="9" t="s">
        <v>23</v>
      </c>
      <c r="D23" s="10" t="n">
        <v>0.4</v>
      </c>
      <c r="E23" s="7" t="s">
        <v>24</v>
      </c>
    </row>
    <row r="24" customFormat="false" ht="19.5" hidden="false" customHeight="true" outlineLevel="0" collapsed="false">
      <c r="A24" s="9" t="n">
        <v>2</v>
      </c>
      <c r="B24" s="5" t="s">
        <v>25</v>
      </c>
      <c r="C24" s="9" t="s">
        <v>23</v>
      </c>
      <c r="D24" s="10" t="n">
        <v>0.4</v>
      </c>
      <c r="E24" s="7" t="s">
        <v>24</v>
      </c>
    </row>
    <row r="25" customFormat="false" ht="19.5" hidden="false" customHeight="true" outlineLevel="0" collapsed="false">
      <c r="A25" s="9" t="n">
        <v>3</v>
      </c>
      <c r="B25" s="5" t="s">
        <v>26</v>
      </c>
      <c r="C25" s="9" t="s">
        <v>23</v>
      </c>
      <c r="D25" s="10" t="n">
        <v>0.4</v>
      </c>
      <c r="E25" s="7" t="s">
        <v>24</v>
      </c>
    </row>
    <row r="26" customFormat="false" ht="19.5" hidden="false" customHeight="true" outlineLevel="0" collapsed="false">
      <c r="A26" s="9" t="n">
        <v>4</v>
      </c>
      <c r="B26" s="5" t="s">
        <v>27</v>
      </c>
      <c r="C26" s="9" t="s">
        <v>23</v>
      </c>
      <c r="D26" s="10" t="n">
        <v>0.4</v>
      </c>
      <c r="E26" s="7" t="s">
        <v>24</v>
      </c>
    </row>
    <row r="27" customFormat="false" ht="19.5" hidden="false" customHeight="true" outlineLevel="0" collapsed="false">
      <c r="A27" s="9" t="n">
        <v>5</v>
      </c>
      <c r="B27" s="5" t="s">
        <v>28</v>
      </c>
      <c r="C27" s="9" t="s">
        <v>23</v>
      </c>
      <c r="D27" s="10" t="n">
        <v>0.4</v>
      </c>
      <c r="E27" s="7" t="s">
        <v>24</v>
      </c>
    </row>
    <row r="28" customFormat="false" ht="19.5" hidden="false" customHeight="true" outlineLevel="0" collapsed="false">
      <c r="A28" s="9" t="n">
        <v>6</v>
      </c>
      <c r="B28" s="5" t="s">
        <v>29</v>
      </c>
      <c r="C28" s="9" t="s">
        <v>30</v>
      </c>
      <c r="D28" s="6" t="n">
        <v>0</v>
      </c>
      <c r="E28" s="7" t="s">
        <v>31</v>
      </c>
    </row>
    <row r="30" customFormat="false" ht="7.5" hidden="false" customHeight="true" outlineLevel="0" collapsed="false"/>
    <row r="31" customFormat="false" ht="18" hidden="false" customHeight="true" outlineLevel="0" collapsed="false">
      <c r="A31" s="2" t="s">
        <v>32</v>
      </c>
      <c r="B31" s="2"/>
      <c r="C31" s="2"/>
      <c r="D31" s="2"/>
      <c r="E31" s="2"/>
    </row>
    <row r="32" customFormat="false" ht="18" hidden="false" customHeight="true" outlineLevel="0" collapsed="false">
      <c r="A32" s="11"/>
      <c r="B32" s="12" t="s">
        <v>33</v>
      </c>
      <c r="C32" s="12"/>
      <c r="D32" s="12"/>
      <c r="E32" s="12"/>
    </row>
    <row r="33" customFormat="false" ht="18" hidden="false" customHeight="true" outlineLevel="0" collapsed="false">
      <c r="A33" s="11"/>
      <c r="B33" s="7" t="s">
        <v>34</v>
      </c>
      <c r="C33" s="7"/>
      <c r="D33" s="7"/>
      <c r="E33" s="7"/>
    </row>
    <row r="34" customFormat="false" ht="18" hidden="false" customHeight="true" outlineLevel="0" collapsed="false">
      <c r="A34" s="11"/>
      <c r="B34" s="13" t="s">
        <v>35</v>
      </c>
      <c r="C34" s="13"/>
      <c r="D34" s="13"/>
      <c r="E34" s="13"/>
    </row>
    <row r="35" customFormat="false" ht="18" hidden="false" customHeight="true" outlineLevel="0" collapsed="false">
      <c r="A35" s="11"/>
      <c r="B35" s="14" t="s">
        <v>36</v>
      </c>
      <c r="C35" s="14"/>
      <c r="D35" s="14"/>
      <c r="E35" s="14"/>
    </row>
  </sheetData>
  <mergeCells count="10">
    <mergeCell ref="A1:H1"/>
    <mergeCell ref="A2:H2"/>
    <mergeCell ref="A4:E4"/>
    <mergeCell ref="A13:E13"/>
    <mergeCell ref="A21:E21"/>
    <mergeCell ref="A31:E31"/>
    <mergeCell ref="B32:E32"/>
    <mergeCell ref="B33:E33"/>
    <mergeCell ref="B34:E34"/>
    <mergeCell ref="B35:E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"/>
    <col collapsed="false" customWidth="true" hidden="false" outlineLevel="0" max="4" min="3" style="0" width="12"/>
    <col collapsed="false" customWidth="true" hidden="false" outlineLevel="0" max="6" min="5" style="0" width="15"/>
    <col collapsed="false" customWidth="true" hidden="false" outlineLevel="0" max="8" min="7" style="0" width="12"/>
    <col collapsed="false" customWidth="true" hidden="false" outlineLevel="0" max="10" min="9" style="0" width="15"/>
    <col collapsed="false" customWidth="true" hidden="false" outlineLevel="0" max="12" min="11" style="0" width="12"/>
    <col collapsed="false" customWidth="true" hidden="false" outlineLevel="0" max="14" min="13" style="0" width="15"/>
    <col collapsed="false" customWidth="true" hidden="false" outlineLevel="0" max="16" min="15" style="0" width="12"/>
    <col collapsed="false" customWidth="true" hidden="false" outlineLevel="0" max="18" min="17" style="0" width="15"/>
    <col collapsed="false" customWidth="true" hidden="false" outlineLevel="0" max="20" min="19" style="0" width="12"/>
    <col collapsed="false" customWidth="true" hidden="false" outlineLevel="0" max="22" min="21" style="0" width="15"/>
    <col collapsed="false" customWidth="true" hidden="false" outlineLevel="0" max="24" min="23" style="0" width="12"/>
    <col collapsed="false" customWidth="true" hidden="false" outlineLevel="0" max="26" min="25" style="0" width="15"/>
    <col collapsed="false" customWidth="true" hidden="false" outlineLevel="0" max="30" min="27" style="0" width="16"/>
  </cols>
  <sheetData>
    <row r="1" customFormat="false" ht="16.15" hidden="false" customHeight="false" outlineLevel="0" collapsed="false">
      <c r="A1" s="1" t="s">
        <v>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customFormat="false" ht="21.75" hidden="false" customHeight="true" outlineLevel="0" collapsed="false">
      <c r="C2" s="15" t="s">
        <v>3</v>
      </c>
      <c r="D2" s="15"/>
      <c r="E2" s="15"/>
      <c r="F2" s="15"/>
      <c r="G2" s="15" t="s">
        <v>5</v>
      </c>
      <c r="H2" s="15"/>
      <c r="I2" s="15"/>
      <c r="J2" s="15"/>
      <c r="K2" s="15" t="s">
        <v>6</v>
      </c>
      <c r="L2" s="15"/>
      <c r="M2" s="15"/>
      <c r="N2" s="15"/>
      <c r="O2" s="15" t="s">
        <v>7</v>
      </c>
      <c r="P2" s="15"/>
      <c r="Q2" s="15"/>
      <c r="R2" s="15"/>
      <c r="S2" s="15" t="s">
        <v>8</v>
      </c>
      <c r="T2" s="15"/>
      <c r="U2" s="15"/>
      <c r="V2" s="15"/>
      <c r="W2" s="15" t="s">
        <v>9</v>
      </c>
      <c r="X2" s="15"/>
      <c r="Y2" s="15"/>
      <c r="Z2" s="15"/>
      <c r="AA2" s="16" t="s">
        <v>38</v>
      </c>
      <c r="AB2" s="16" t="s">
        <v>39</v>
      </c>
      <c r="AC2" s="16" t="s">
        <v>40</v>
      </c>
      <c r="AD2" s="16" t="s">
        <v>41</v>
      </c>
    </row>
    <row r="3" customFormat="false" ht="15" hidden="false" customHeight="false" outlineLevel="0" collapsed="false">
      <c r="C3" s="4" t="s">
        <v>42</v>
      </c>
      <c r="D3" s="4" t="s">
        <v>43</v>
      </c>
      <c r="E3" s="17" t="s">
        <v>39</v>
      </c>
      <c r="F3" s="17" t="s">
        <v>44</v>
      </c>
      <c r="G3" s="4" t="s">
        <v>42</v>
      </c>
      <c r="H3" s="4" t="s">
        <v>43</v>
      </c>
      <c r="I3" s="17" t="s">
        <v>39</v>
      </c>
      <c r="J3" s="17" t="s">
        <v>44</v>
      </c>
      <c r="K3" s="4" t="s">
        <v>42</v>
      </c>
      <c r="L3" s="4" t="s">
        <v>43</v>
      </c>
      <c r="M3" s="17" t="s">
        <v>39</v>
      </c>
      <c r="N3" s="17" t="s">
        <v>44</v>
      </c>
      <c r="O3" s="4" t="s">
        <v>42</v>
      </c>
      <c r="P3" s="4" t="s">
        <v>43</v>
      </c>
      <c r="Q3" s="17" t="s">
        <v>39</v>
      </c>
      <c r="R3" s="17" t="s">
        <v>44</v>
      </c>
      <c r="S3" s="4" t="s">
        <v>42</v>
      </c>
      <c r="T3" s="4" t="s">
        <v>43</v>
      </c>
      <c r="U3" s="17" t="s">
        <v>39</v>
      </c>
      <c r="V3" s="17" t="s">
        <v>44</v>
      </c>
      <c r="W3" s="4" t="s">
        <v>42</v>
      </c>
      <c r="X3" s="4" t="s">
        <v>43</v>
      </c>
      <c r="Y3" s="17" t="s">
        <v>39</v>
      </c>
      <c r="Z3" s="17" t="s">
        <v>44</v>
      </c>
      <c r="AA3" s="16" t="s">
        <v>38</v>
      </c>
      <c r="AB3" s="16" t="s">
        <v>39</v>
      </c>
      <c r="AC3" s="16" t="s">
        <v>40</v>
      </c>
      <c r="AD3" s="16" t="s">
        <v>41</v>
      </c>
    </row>
    <row r="4" customFormat="false" ht="21.75" hidden="false" customHeight="true" outlineLevel="0" collapsed="false">
      <c r="A4" s="5" t="s">
        <v>22</v>
      </c>
      <c r="B4" s="11" t="n">
        <v>1</v>
      </c>
      <c r="C4" s="18" t="n">
        <v>39</v>
      </c>
      <c r="D4" s="18" t="n">
        <v>39</v>
      </c>
      <c r="E4" s="19" t="n">
        <f aca="false">(C4+D4)*'⚙ Configurações'!C5</f>
        <v>12480</v>
      </c>
      <c r="F4" s="20" t="n">
        <f aca="false">E4*'⚙ Configurações'!D23</f>
        <v>4992</v>
      </c>
      <c r="G4" s="18" t="n">
        <v>45</v>
      </c>
      <c r="H4" s="18" t="n">
        <v>69</v>
      </c>
      <c r="I4" s="19" t="n">
        <f aca="false">(G4+H4)*'⚙ Configurações'!C6</f>
        <v>20520</v>
      </c>
      <c r="J4" s="20" t="n">
        <f aca="false">I4*'⚙ Configurações'!D23</f>
        <v>8208</v>
      </c>
      <c r="K4" s="18" t="n">
        <v>7</v>
      </c>
      <c r="L4" s="18" t="n">
        <v>2</v>
      </c>
      <c r="M4" s="19" t="n">
        <f aca="false">(K4+L4)*'⚙ Configurações'!C7</f>
        <v>3150</v>
      </c>
      <c r="N4" s="20" t="n">
        <f aca="false">M4*'⚙ Configurações'!D23</f>
        <v>1260</v>
      </c>
      <c r="O4" s="18" t="n">
        <v>0</v>
      </c>
      <c r="P4" s="18" t="n">
        <v>5</v>
      </c>
      <c r="Q4" s="19" t="n">
        <f aca="false">(O4+P4)*'⚙ Configurações'!C8</f>
        <v>800</v>
      </c>
      <c r="R4" s="20" t="n">
        <f aca="false">Q4*'⚙ Configurações'!D23</f>
        <v>320</v>
      </c>
      <c r="S4" s="18" t="n">
        <v>0</v>
      </c>
      <c r="T4" s="18" t="n">
        <v>4</v>
      </c>
      <c r="U4" s="19" t="n">
        <f aca="false">(S4+T4)*'⚙ Configurações'!C9</f>
        <v>560</v>
      </c>
      <c r="V4" s="20" t="n">
        <f aca="false">U4*'⚙ Configurações'!D23</f>
        <v>224</v>
      </c>
      <c r="W4" s="18" t="n">
        <v>0</v>
      </c>
      <c r="X4" s="18" t="n">
        <v>1</v>
      </c>
      <c r="Y4" s="19" t="n">
        <f aca="false">(W4+X4)*'⚙ Configurações'!C10</f>
        <v>140</v>
      </c>
      <c r="Z4" s="20" t="n">
        <f aca="false">Y4*'⚙ Configurações'!D23</f>
        <v>56</v>
      </c>
      <c r="AA4" s="21" t="n">
        <f aca="false">C4+G4+K4+O4+S4+W4+D4+H4+L4+P4+T4+X4</f>
        <v>211</v>
      </c>
      <c r="AB4" s="19" t="n">
        <f aca="false">E4+I4+M4+Q4+U4+Y4</f>
        <v>37650</v>
      </c>
      <c r="AC4" s="20" t="n">
        <f aca="false">F4+J4+N4+R4+V4+Z4</f>
        <v>15060</v>
      </c>
      <c r="AD4" s="22" t="n">
        <f aca="false">AB4-AC4</f>
        <v>22590</v>
      </c>
    </row>
    <row r="5" customFormat="false" ht="21.75" hidden="false" customHeight="true" outlineLevel="0" collapsed="false">
      <c r="A5" s="5" t="s">
        <v>25</v>
      </c>
      <c r="B5" s="11" t="n">
        <v>2</v>
      </c>
      <c r="C5" s="18" t="n">
        <v>55</v>
      </c>
      <c r="D5" s="18" t="n">
        <v>46</v>
      </c>
      <c r="E5" s="19" t="n">
        <f aca="false">(C5+D5)*'⚙ Configurações'!C5</f>
        <v>16160</v>
      </c>
      <c r="F5" s="20" t="n">
        <f aca="false">E5*'⚙ Configurações'!D24</f>
        <v>6464</v>
      </c>
      <c r="G5" s="18" t="n">
        <v>20</v>
      </c>
      <c r="H5" s="18" t="n">
        <v>41</v>
      </c>
      <c r="I5" s="19" t="n">
        <f aca="false">(G5+H5)*'⚙ Configurações'!C6</f>
        <v>10980</v>
      </c>
      <c r="J5" s="20" t="n">
        <f aca="false">I5*'⚙ Configurações'!D24</f>
        <v>4392</v>
      </c>
      <c r="K5" s="18" t="n">
        <v>0</v>
      </c>
      <c r="L5" s="18" t="n">
        <v>0</v>
      </c>
      <c r="M5" s="19" t="n">
        <f aca="false">(K5+L5)*'⚙ Configurações'!C7</f>
        <v>0</v>
      </c>
      <c r="N5" s="20" t="n">
        <f aca="false">M5*'⚙ Configurações'!D24</f>
        <v>0</v>
      </c>
      <c r="O5" s="18" t="n">
        <v>1</v>
      </c>
      <c r="P5" s="18" t="n">
        <v>8</v>
      </c>
      <c r="Q5" s="19" t="n">
        <f aca="false">(O5+P5)*'⚙ Configurações'!C8</f>
        <v>1440</v>
      </c>
      <c r="R5" s="20" t="n">
        <f aca="false">Q5*'⚙ Configurações'!D24</f>
        <v>576</v>
      </c>
      <c r="S5" s="18" t="n">
        <v>0</v>
      </c>
      <c r="T5" s="18" t="n">
        <v>0</v>
      </c>
      <c r="U5" s="19" t="n">
        <f aca="false">(S5+T5)*'⚙ Configurações'!C9</f>
        <v>0</v>
      </c>
      <c r="V5" s="20" t="n">
        <f aca="false">U5*'⚙ Configurações'!D24</f>
        <v>0</v>
      </c>
      <c r="W5" s="18" t="n">
        <v>0</v>
      </c>
      <c r="X5" s="18" t="n">
        <v>0</v>
      </c>
      <c r="Y5" s="19" t="n">
        <f aca="false">(W5+X5)*'⚙ Configurações'!C10</f>
        <v>0</v>
      </c>
      <c r="Z5" s="20" t="n">
        <f aca="false">Y5*'⚙ Configurações'!D24</f>
        <v>0</v>
      </c>
      <c r="AA5" s="21" t="n">
        <f aca="false">C5+G5+K5+O5+S5+W5+D5+H5+L5+P5+T5+X5</f>
        <v>171</v>
      </c>
      <c r="AB5" s="19" t="n">
        <f aca="false">E5+I5+M5+Q5+U5+Y5</f>
        <v>28580</v>
      </c>
      <c r="AC5" s="20" t="n">
        <f aca="false">F5+J5+N5+R5+V5+Z5</f>
        <v>11432</v>
      </c>
      <c r="AD5" s="22" t="n">
        <f aca="false">AB5-AC5</f>
        <v>17148</v>
      </c>
    </row>
    <row r="6" customFormat="false" ht="21.75" hidden="false" customHeight="true" outlineLevel="0" collapsed="false">
      <c r="A6" s="5" t="s">
        <v>26</v>
      </c>
      <c r="B6" s="11" t="n">
        <v>3</v>
      </c>
      <c r="C6" s="18" t="n">
        <v>21</v>
      </c>
      <c r="D6" s="18" t="n">
        <v>23</v>
      </c>
      <c r="E6" s="19" t="n">
        <f aca="false">(C6+D6)*'⚙ Configurações'!C5</f>
        <v>7040</v>
      </c>
      <c r="F6" s="20" t="n">
        <f aca="false">E6*'⚙ Configurações'!D25</f>
        <v>2816</v>
      </c>
      <c r="G6" s="18" t="n">
        <v>26</v>
      </c>
      <c r="H6" s="18" t="n">
        <v>34</v>
      </c>
      <c r="I6" s="19" t="n">
        <f aca="false">(G6+H6)*'⚙ Configurações'!C6</f>
        <v>10800</v>
      </c>
      <c r="J6" s="20" t="n">
        <f aca="false">I6*'⚙ Configurações'!D25</f>
        <v>4320</v>
      </c>
      <c r="K6" s="18" t="n">
        <v>0</v>
      </c>
      <c r="L6" s="18" t="n">
        <v>0</v>
      </c>
      <c r="M6" s="19" t="n">
        <f aca="false">(K6+L6)*'⚙ Configurações'!C7</f>
        <v>0</v>
      </c>
      <c r="N6" s="20" t="n">
        <f aca="false">M6*'⚙ Configurações'!D25</f>
        <v>0</v>
      </c>
      <c r="O6" s="18" t="n">
        <v>0</v>
      </c>
      <c r="P6" s="18" t="n">
        <v>5</v>
      </c>
      <c r="Q6" s="19" t="n">
        <f aca="false">(O6+P6)*'⚙ Configurações'!C8</f>
        <v>800</v>
      </c>
      <c r="R6" s="20" t="n">
        <f aca="false">Q6*'⚙ Configurações'!D25</f>
        <v>320</v>
      </c>
      <c r="S6" s="18" t="n">
        <v>0</v>
      </c>
      <c r="T6" s="18" t="n">
        <v>0</v>
      </c>
      <c r="U6" s="19" t="n">
        <f aca="false">(S6+T6)*'⚙ Configurações'!C9</f>
        <v>0</v>
      </c>
      <c r="V6" s="20" t="n">
        <f aca="false">U6*'⚙ Configurações'!D25</f>
        <v>0</v>
      </c>
      <c r="W6" s="18" t="n">
        <v>0</v>
      </c>
      <c r="X6" s="18" t="n">
        <v>0</v>
      </c>
      <c r="Y6" s="19" t="n">
        <f aca="false">(W6+X6)*'⚙ Configurações'!C10</f>
        <v>0</v>
      </c>
      <c r="Z6" s="20" t="n">
        <f aca="false">Y6*'⚙ Configurações'!D25</f>
        <v>0</v>
      </c>
      <c r="AA6" s="21" t="n">
        <f aca="false">C6+G6+K6+O6+S6+W6+D6+H6+L6+P6+T6+X6</f>
        <v>109</v>
      </c>
      <c r="AB6" s="19" t="n">
        <f aca="false">E6+I6+M6+Q6+U6+Y6</f>
        <v>18640</v>
      </c>
      <c r="AC6" s="20" t="n">
        <f aca="false">F6+J6+N6+R6+V6+Z6</f>
        <v>7456</v>
      </c>
      <c r="AD6" s="22" t="n">
        <f aca="false">AB6-AC6</f>
        <v>11184</v>
      </c>
    </row>
    <row r="7" customFormat="false" ht="21.75" hidden="false" customHeight="true" outlineLevel="0" collapsed="false">
      <c r="A7" s="5" t="s">
        <v>27</v>
      </c>
      <c r="B7" s="11" t="n">
        <v>4</v>
      </c>
      <c r="C7" s="18" t="n">
        <v>22</v>
      </c>
      <c r="D7" s="18" t="n">
        <v>43</v>
      </c>
      <c r="E7" s="19" t="n">
        <f aca="false">(C7+D7)*'⚙ Configurações'!C5</f>
        <v>10400</v>
      </c>
      <c r="F7" s="20" t="n">
        <f aca="false">E7*'⚙ Configurações'!D26</f>
        <v>4160</v>
      </c>
      <c r="G7" s="18" t="n">
        <v>59</v>
      </c>
      <c r="H7" s="18" t="n">
        <v>79</v>
      </c>
      <c r="I7" s="19" t="n">
        <f aca="false">(G7+H7)*'⚙ Configurações'!C6</f>
        <v>24840</v>
      </c>
      <c r="J7" s="20" t="n">
        <f aca="false">I7*'⚙ Configurações'!D26</f>
        <v>9936</v>
      </c>
      <c r="K7" s="18" t="n">
        <v>20</v>
      </c>
      <c r="L7" s="18" t="n">
        <v>13</v>
      </c>
      <c r="M7" s="19" t="n">
        <f aca="false">(K7+L7)*'⚙ Configurações'!C7</f>
        <v>11550</v>
      </c>
      <c r="N7" s="20" t="n">
        <f aca="false">M7*'⚙ Configurações'!D26</f>
        <v>4620</v>
      </c>
      <c r="O7" s="18" t="n">
        <v>0</v>
      </c>
      <c r="P7" s="18" t="n">
        <v>0</v>
      </c>
      <c r="Q7" s="19" t="n">
        <f aca="false">(O7+P7)*'⚙ Configurações'!C8</f>
        <v>0</v>
      </c>
      <c r="R7" s="20" t="n">
        <f aca="false">Q7*'⚙ Configurações'!D26</f>
        <v>0</v>
      </c>
      <c r="S7" s="18" t="n">
        <v>0</v>
      </c>
      <c r="T7" s="18" t="n">
        <v>0</v>
      </c>
      <c r="U7" s="19" t="n">
        <f aca="false">(S7+T7)*'⚙ Configurações'!C9</f>
        <v>0</v>
      </c>
      <c r="V7" s="20" t="n">
        <f aca="false">U7*'⚙ Configurações'!D26</f>
        <v>0</v>
      </c>
      <c r="W7" s="18" t="n">
        <v>0</v>
      </c>
      <c r="X7" s="18" t="n">
        <v>0</v>
      </c>
      <c r="Y7" s="19" t="n">
        <f aca="false">(W7+X7)*'⚙ Configurações'!C10</f>
        <v>0</v>
      </c>
      <c r="Z7" s="20" t="n">
        <f aca="false">Y7*'⚙ Configurações'!D26</f>
        <v>0</v>
      </c>
      <c r="AA7" s="21" t="n">
        <f aca="false">C7+G7+K7+O7+S7+W7+D7+H7+L7+P7+T7+X7</f>
        <v>236</v>
      </c>
      <c r="AB7" s="19" t="n">
        <f aca="false">E7+I7+M7+Q7+U7+Y7</f>
        <v>46790</v>
      </c>
      <c r="AC7" s="20" t="n">
        <f aca="false">F7+J7+N7+R7+V7+Z7</f>
        <v>18716</v>
      </c>
      <c r="AD7" s="22" t="n">
        <f aca="false">AB7-AC7</f>
        <v>28074</v>
      </c>
    </row>
    <row r="8" customFormat="false" ht="21.75" hidden="false" customHeight="true" outlineLevel="0" collapsed="false">
      <c r="A8" s="5" t="s">
        <v>28</v>
      </c>
      <c r="B8" s="11" t="n">
        <v>5</v>
      </c>
      <c r="C8" s="18" t="n">
        <v>40</v>
      </c>
      <c r="D8" s="18" t="n">
        <v>28</v>
      </c>
      <c r="E8" s="19" t="n">
        <f aca="false">(C8+D8)*'⚙ Configurações'!C5</f>
        <v>10880</v>
      </c>
      <c r="F8" s="20" t="n">
        <f aca="false">E8*'⚙ Configurações'!D27</f>
        <v>4352</v>
      </c>
      <c r="G8" s="18" t="n">
        <v>41</v>
      </c>
      <c r="H8" s="18" t="n">
        <v>89</v>
      </c>
      <c r="I8" s="19" t="n">
        <f aca="false">(G8+H8)*'⚙ Configurações'!C6</f>
        <v>23400</v>
      </c>
      <c r="J8" s="20" t="n">
        <f aca="false">I8*'⚙ Configurações'!D27</f>
        <v>9360</v>
      </c>
      <c r="K8" s="18" t="n">
        <v>0</v>
      </c>
      <c r="L8" s="18" t="n">
        <v>5</v>
      </c>
      <c r="M8" s="19" t="n">
        <f aca="false">(K8+L8)*'⚙ Configurações'!C7</f>
        <v>1750</v>
      </c>
      <c r="N8" s="20" t="n">
        <f aca="false">M8*'⚙ Configurações'!D27</f>
        <v>700</v>
      </c>
      <c r="O8" s="18" t="n">
        <v>0</v>
      </c>
      <c r="P8" s="18" t="n">
        <v>0</v>
      </c>
      <c r="Q8" s="19" t="n">
        <f aca="false">(O8+P8)*'⚙ Configurações'!C8</f>
        <v>0</v>
      </c>
      <c r="R8" s="20" t="n">
        <f aca="false">Q8*'⚙ Configurações'!D27</f>
        <v>0</v>
      </c>
      <c r="S8" s="18" t="n">
        <v>0</v>
      </c>
      <c r="T8" s="18" t="n">
        <v>0</v>
      </c>
      <c r="U8" s="19" t="n">
        <f aca="false">(S8+T8)*'⚙ Configurações'!C9</f>
        <v>0</v>
      </c>
      <c r="V8" s="20" t="n">
        <f aca="false">U8*'⚙ Configurações'!D27</f>
        <v>0</v>
      </c>
      <c r="W8" s="18" t="n">
        <v>0</v>
      </c>
      <c r="X8" s="18" t="n">
        <v>0</v>
      </c>
      <c r="Y8" s="19" t="n">
        <f aca="false">(W8+X8)*'⚙ Configurações'!C10</f>
        <v>0</v>
      </c>
      <c r="Z8" s="20" t="n">
        <f aca="false">Y8*'⚙ Configurações'!D27</f>
        <v>0</v>
      </c>
      <c r="AA8" s="21" t="n">
        <f aca="false">C8+G8+K8+O8+S8+W8+D8+H8+L8+P8+T8+X8</f>
        <v>203</v>
      </c>
      <c r="AB8" s="19" t="n">
        <f aca="false">E8+I8+M8+Q8+U8+Y8</f>
        <v>36030</v>
      </c>
      <c r="AC8" s="20" t="n">
        <f aca="false">F8+J8+N8+R8+V8+Z8</f>
        <v>14412</v>
      </c>
      <c r="AD8" s="22" t="n">
        <f aca="false">AB8-AC8</f>
        <v>21618</v>
      </c>
    </row>
    <row r="9" customFormat="false" ht="21.75" hidden="false" customHeight="true" outlineLevel="0" collapsed="false">
      <c r="A9" s="5" t="s">
        <v>29</v>
      </c>
      <c r="B9" s="11" t="n">
        <v>6</v>
      </c>
      <c r="C9" s="18" t="n">
        <v>0</v>
      </c>
      <c r="D9" s="18" t="n">
        <v>0</v>
      </c>
      <c r="E9" s="19" t="n">
        <f aca="false">(C9+D9)*'⚙ Configurações'!C5</f>
        <v>0</v>
      </c>
      <c r="F9" s="23" t="n">
        <v>0</v>
      </c>
      <c r="G9" s="18" t="n">
        <v>0</v>
      </c>
      <c r="H9" s="18" t="n">
        <v>0</v>
      </c>
      <c r="I9" s="19" t="n">
        <f aca="false">(G9+H9)*'⚙ Configurações'!C6</f>
        <v>0</v>
      </c>
      <c r="J9" s="23" t="n">
        <v>0</v>
      </c>
      <c r="K9" s="18" t="n">
        <v>0</v>
      </c>
      <c r="L9" s="18" t="n">
        <v>4</v>
      </c>
      <c r="M9" s="19" t="n">
        <f aca="false">(K9+L9)*'⚙ Configurações'!C7</f>
        <v>1400</v>
      </c>
      <c r="N9" s="23" t="n">
        <v>0</v>
      </c>
      <c r="O9" s="18" t="n">
        <v>0</v>
      </c>
      <c r="P9" s="18" t="n">
        <v>0</v>
      </c>
      <c r="Q9" s="19" t="n">
        <f aca="false">(O9+P9)*'⚙ Configurações'!C8</f>
        <v>0</v>
      </c>
      <c r="R9" s="23" t="n">
        <v>0</v>
      </c>
      <c r="S9" s="18" t="n">
        <v>0</v>
      </c>
      <c r="T9" s="18" t="n">
        <v>0</v>
      </c>
      <c r="U9" s="19" t="n">
        <f aca="false">(S9+T9)*'⚙ Configurações'!C9</f>
        <v>0</v>
      </c>
      <c r="V9" s="23" t="n">
        <v>0</v>
      </c>
      <c r="W9" s="18" t="n">
        <v>0</v>
      </c>
      <c r="X9" s="18" t="n">
        <v>0</v>
      </c>
      <c r="Y9" s="19" t="n">
        <f aca="false">(W9+X9)*'⚙ Configurações'!C10</f>
        <v>0</v>
      </c>
      <c r="Z9" s="23" t="n">
        <v>0</v>
      </c>
      <c r="AA9" s="21" t="n">
        <f aca="false">C9+G9+K9+O9+S9+W9+D9+H9+L9+P9+T9+X9</f>
        <v>4</v>
      </c>
      <c r="AB9" s="19" t="n">
        <f aca="false">E9+I9+M9+Q9+U9+Y9</f>
        <v>1400</v>
      </c>
      <c r="AC9" s="20" t="n">
        <f aca="false">F9+J9+N9+R9+V9+Z9</f>
        <v>0</v>
      </c>
      <c r="AD9" s="22" t="n">
        <f aca="false">AB9-AC9</f>
        <v>1400</v>
      </c>
    </row>
    <row r="10" customFormat="false" ht="21.75" hidden="false" customHeight="true" outlineLevel="0" collapsed="false">
      <c r="A10" s="24" t="s">
        <v>45</v>
      </c>
      <c r="C10" s="25" t="n">
        <f aca="false">SUM(C4:C9)</f>
        <v>177</v>
      </c>
      <c r="D10" s="25" t="n">
        <f aca="false">SUM(D4:D9)</f>
        <v>179</v>
      </c>
      <c r="E10" s="26" t="n">
        <f aca="false">SUM(E4:E9)</f>
        <v>56960</v>
      </c>
      <c r="F10" s="27" t="n">
        <f aca="false">SUM(F4:F9)</f>
        <v>22784</v>
      </c>
      <c r="G10" s="25" t="n">
        <f aca="false">SUM(G4:G9)</f>
        <v>191</v>
      </c>
      <c r="H10" s="25" t="n">
        <f aca="false">SUM(H4:H9)</f>
        <v>312</v>
      </c>
      <c r="I10" s="26" t="n">
        <f aca="false">SUM(I4:I9)</f>
        <v>90540</v>
      </c>
      <c r="J10" s="27" t="n">
        <f aca="false">SUM(J4:J9)</f>
        <v>36216</v>
      </c>
      <c r="K10" s="25" t="n">
        <f aca="false">SUM(K4:K9)</f>
        <v>27</v>
      </c>
      <c r="L10" s="25" t="n">
        <f aca="false">SUM(L4:L9)</f>
        <v>24</v>
      </c>
      <c r="M10" s="26" t="n">
        <f aca="false">SUM(M4:M9)</f>
        <v>17850</v>
      </c>
      <c r="N10" s="27" t="n">
        <f aca="false">SUM(N4:N9)</f>
        <v>6580</v>
      </c>
      <c r="O10" s="25" t="n">
        <f aca="false">SUM(O4:O9)</f>
        <v>1</v>
      </c>
      <c r="P10" s="25" t="n">
        <f aca="false">SUM(P4:P9)</f>
        <v>18</v>
      </c>
      <c r="Q10" s="26" t="n">
        <f aca="false">SUM(Q4:Q9)</f>
        <v>3040</v>
      </c>
      <c r="R10" s="27" t="n">
        <f aca="false">SUM(R4:R9)</f>
        <v>1216</v>
      </c>
      <c r="S10" s="25" t="n">
        <f aca="false">SUM(S4:S9)</f>
        <v>0</v>
      </c>
      <c r="T10" s="25" t="n">
        <f aca="false">SUM(T4:T9)</f>
        <v>4</v>
      </c>
      <c r="U10" s="26" t="n">
        <f aca="false">SUM(U4:U9)</f>
        <v>560</v>
      </c>
      <c r="V10" s="27" t="n">
        <f aca="false">SUM(V4:V9)</f>
        <v>224</v>
      </c>
      <c r="W10" s="25" t="n">
        <f aca="false">SUM(W4:W9)</f>
        <v>0</v>
      </c>
      <c r="X10" s="25" t="n">
        <f aca="false">SUM(X4:X9)</f>
        <v>1</v>
      </c>
      <c r="Y10" s="26" t="n">
        <f aca="false">SUM(Y4:Y9)</f>
        <v>140</v>
      </c>
      <c r="Z10" s="27" t="n">
        <f aca="false">SUM(Z4:Z9)</f>
        <v>56</v>
      </c>
      <c r="AA10" s="25" t="n">
        <f aca="false">SUM(AA4:AA9)</f>
        <v>934</v>
      </c>
      <c r="AB10" s="26" t="n">
        <f aca="false">SUM(AB4:AB9)</f>
        <v>169090</v>
      </c>
      <c r="AC10" s="27" t="n">
        <f aca="false">SUM(AC4:AC9)</f>
        <v>67076</v>
      </c>
      <c r="AD10" s="28" t="n">
        <f aca="false">SUM(AD4:AD9)</f>
        <v>102014</v>
      </c>
    </row>
  </sheetData>
  <mergeCells count="7">
    <mergeCell ref="A1:AB1"/>
    <mergeCell ref="C2:F2"/>
    <mergeCell ref="G2:J2"/>
    <mergeCell ref="K2:N2"/>
    <mergeCell ref="O2:R2"/>
    <mergeCell ref="S2:V2"/>
    <mergeCell ref="W2:Z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5" min="2" style="0" width="13"/>
    <col collapsed="false" customWidth="true" hidden="false" outlineLevel="0" max="27" min="26" style="0" width="16"/>
  </cols>
  <sheetData>
    <row r="1" customFormat="false" ht="16.15" hidden="false" customHeight="false" outlineLevel="0" collapsed="false">
      <c r="A1" s="1" t="s">
        <v>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" hidden="false" customHeight="false" outlineLevel="0" collapsed="false">
      <c r="B2" s="15" t="s">
        <v>3</v>
      </c>
      <c r="C2" s="15"/>
      <c r="D2" s="15"/>
      <c r="E2" s="15"/>
      <c r="F2" s="15" t="s">
        <v>5</v>
      </c>
      <c r="G2" s="15"/>
      <c r="H2" s="15"/>
      <c r="I2" s="15"/>
      <c r="J2" s="15" t="s">
        <v>6</v>
      </c>
      <c r="K2" s="15"/>
      <c r="L2" s="15"/>
      <c r="M2" s="15"/>
      <c r="N2" s="15" t="s">
        <v>7</v>
      </c>
      <c r="O2" s="15"/>
      <c r="P2" s="15"/>
      <c r="Q2" s="15"/>
      <c r="R2" s="15" t="s">
        <v>8</v>
      </c>
      <c r="S2" s="15"/>
      <c r="T2" s="15"/>
      <c r="U2" s="15"/>
      <c r="V2" s="15" t="s">
        <v>9</v>
      </c>
      <c r="W2" s="15"/>
      <c r="X2" s="15"/>
      <c r="Y2" s="15"/>
      <c r="Z2" s="16" t="s">
        <v>38</v>
      </c>
      <c r="AA2" s="16" t="s">
        <v>39</v>
      </c>
    </row>
    <row r="3" customFormat="false" ht="15" hidden="false" customHeight="false" outlineLevel="0" collapsed="false">
      <c r="B3" s="4" t="s">
        <v>42</v>
      </c>
      <c r="C3" s="4" t="s">
        <v>43</v>
      </c>
      <c r="D3" s="17" t="s">
        <v>39</v>
      </c>
      <c r="E3" s="17" t="s">
        <v>47</v>
      </c>
      <c r="F3" s="4" t="s">
        <v>42</v>
      </c>
      <c r="G3" s="4" t="s">
        <v>43</v>
      </c>
      <c r="H3" s="17" t="s">
        <v>39</v>
      </c>
      <c r="I3" s="17" t="s">
        <v>47</v>
      </c>
      <c r="J3" s="4" t="s">
        <v>42</v>
      </c>
      <c r="K3" s="4" t="s">
        <v>43</v>
      </c>
      <c r="L3" s="17" t="s">
        <v>39</v>
      </c>
      <c r="M3" s="17" t="s">
        <v>47</v>
      </c>
      <c r="N3" s="4" t="s">
        <v>42</v>
      </c>
      <c r="O3" s="4" t="s">
        <v>43</v>
      </c>
      <c r="P3" s="17" t="s">
        <v>39</v>
      </c>
      <c r="Q3" s="17" t="s">
        <v>47</v>
      </c>
      <c r="R3" s="4" t="s">
        <v>42</v>
      </c>
      <c r="S3" s="4" t="s">
        <v>43</v>
      </c>
      <c r="T3" s="17" t="s">
        <v>39</v>
      </c>
      <c r="U3" s="17" t="s">
        <v>47</v>
      </c>
      <c r="V3" s="4" t="s">
        <v>42</v>
      </c>
      <c r="W3" s="4" t="s">
        <v>43</v>
      </c>
      <c r="X3" s="17" t="s">
        <v>39</v>
      </c>
      <c r="Y3" s="17" t="s">
        <v>47</v>
      </c>
      <c r="Z3" s="16" t="s">
        <v>38</v>
      </c>
      <c r="AA3" s="16" t="s">
        <v>39</v>
      </c>
    </row>
    <row r="4" customFormat="false" ht="21.75" hidden="false" customHeight="true" outlineLevel="0" collapsed="false">
      <c r="A4" s="29" t="s">
        <v>13</v>
      </c>
      <c r="B4" s="18" t="n">
        <v>40</v>
      </c>
      <c r="C4" s="18" t="n">
        <v>31</v>
      </c>
      <c r="D4" s="19" t="n">
        <f aca="false">(B4+C4)*'⚙ Configurações'!C15</f>
        <v>11360</v>
      </c>
      <c r="E4" s="23" t="n">
        <f aca="false">'⚙ Configurações'!C15</f>
        <v>160</v>
      </c>
      <c r="F4" s="18" t="n">
        <v>84</v>
      </c>
      <c r="G4" s="18" t="n">
        <v>49</v>
      </c>
      <c r="H4" s="19" t="n">
        <f aca="false">(F4+G4)*'⚙ Configurações'!D15</f>
        <v>23940</v>
      </c>
      <c r="I4" s="23" t="n">
        <f aca="false">'⚙ Configurações'!D15</f>
        <v>180</v>
      </c>
      <c r="J4" s="18" t="n">
        <v>4</v>
      </c>
      <c r="K4" s="18" t="n">
        <v>3</v>
      </c>
      <c r="L4" s="19" t="n">
        <f aca="false">(J4+K4)*'⚙ Configurações'!E15</f>
        <v>2240</v>
      </c>
      <c r="M4" s="23" t="n">
        <f aca="false">'⚙ Configurações'!E15</f>
        <v>320</v>
      </c>
      <c r="N4" s="18" t="n">
        <v>4</v>
      </c>
      <c r="O4" s="18" t="n">
        <v>2</v>
      </c>
      <c r="P4" s="19" t="n">
        <f aca="false">(N4+O4)*'⚙ Configurações'!F15</f>
        <v>960</v>
      </c>
      <c r="Q4" s="23" t="n">
        <f aca="false">'⚙ Configurações'!F15</f>
        <v>160</v>
      </c>
      <c r="R4" s="18" t="n">
        <v>0</v>
      </c>
      <c r="S4" s="18" t="n">
        <v>1</v>
      </c>
      <c r="T4" s="19" t="n">
        <f aca="false">(R4+S4)*'⚙ Configurações'!G15</f>
        <v>140</v>
      </c>
      <c r="U4" s="23" t="n">
        <f aca="false">'⚙ Configurações'!G15</f>
        <v>140</v>
      </c>
      <c r="V4" s="18" t="n">
        <v>0</v>
      </c>
      <c r="W4" s="18" t="n">
        <v>1</v>
      </c>
      <c r="X4" s="19" t="n">
        <f aca="false">(V4+W4)*'⚙ Configurações'!H15</f>
        <v>140</v>
      </c>
      <c r="Y4" s="23" t="n">
        <f aca="false">'⚙ Configurações'!H15</f>
        <v>140</v>
      </c>
      <c r="Z4" s="21" t="n">
        <f aca="false">B4+F4+J4+N4+R4+V4+C4+G4+K4+O4+S4+W4</f>
        <v>219</v>
      </c>
      <c r="AA4" s="22" t="n">
        <f aca="false">D4+H4+L4+P4+T4+X4</f>
        <v>38780</v>
      </c>
    </row>
    <row r="5" customFormat="false" ht="21.75" hidden="false" customHeight="true" outlineLevel="0" collapsed="false">
      <c r="A5" s="29" t="s">
        <v>14</v>
      </c>
      <c r="B5" s="18" t="n">
        <v>48</v>
      </c>
      <c r="C5" s="18" t="n">
        <v>29</v>
      </c>
      <c r="D5" s="19" t="n">
        <f aca="false">(B5+C5)*'⚙ Configurações'!C16</f>
        <v>12320</v>
      </c>
      <c r="E5" s="23" t="n">
        <f aca="false">'⚙ Configurações'!C16</f>
        <v>160</v>
      </c>
      <c r="F5" s="18" t="n">
        <v>36</v>
      </c>
      <c r="G5" s="18" t="n">
        <v>25</v>
      </c>
      <c r="H5" s="19" t="n">
        <f aca="false">(F5+G5)*'⚙ Configurações'!D16</f>
        <v>10980</v>
      </c>
      <c r="I5" s="23" t="n">
        <f aca="false">'⚙ Configurações'!D16</f>
        <v>180</v>
      </c>
      <c r="J5" s="18" t="n">
        <v>4</v>
      </c>
      <c r="K5" s="18" t="n">
        <v>3</v>
      </c>
      <c r="L5" s="19" t="n">
        <f aca="false">(J5+K5)*'⚙ Configurações'!E16</f>
        <v>2240</v>
      </c>
      <c r="M5" s="23" t="n">
        <f aca="false">'⚙ Configurações'!E16</f>
        <v>320</v>
      </c>
      <c r="N5" s="18" t="n">
        <v>0</v>
      </c>
      <c r="O5" s="18" t="n">
        <v>0</v>
      </c>
      <c r="P5" s="19" t="n">
        <f aca="false">(N5+O5)*'⚙ Configurações'!F16</f>
        <v>0</v>
      </c>
      <c r="Q5" s="23" t="n">
        <f aca="false">'⚙ Configurações'!F16</f>
        <v>160</v>
      </c>
      <c r="R5" s="18" t="n">
        <v>0</v>
      </c>
      <c r="S5" s="18" t="n">
        <v>0</v>
      </c>
      <c r="T5" s="19" t="n">
        <f aca="false">(R5+S5)*'⚙ Configurações'!G16</f>
        <v>0</v>
      </c>
      <c r="U5" s="23" t="n">
        <f aca="false">'⚙ Configurações'!G16</f>
        <v>140</v>
      </c>
      <c r="V5" s="18" t="n">
        <v>0</v>
      </c>
      <c r="W5" s="18" t="n">
        <v>0</v>
      </c>
      <c r="X5" s="19" t="n">
        <f aca="false">(V5+W5)*'⚙ Configurações'!H16</f>
        <v>0</v>
      </c>
      <c r="Y5" s="23" t="n">
        <f aca="false">'⚙ Configurações'!H16</f>
        <v>140</v>
      </c>
      <c r="Z5" s="21" t="n">
        <f aca="false">B5+F5+J5+N5+R5+V5+C5+G5+K5+O5+S5+W5</f>
        <v>145</v>
      </c>
      <c r="AA5" s="22" t="n">
        <f aca="false">D5+H5+L5+P5+T5+X5</f>
        <v>25540</v>
      </c>
    </row>
    <row r="6" customFormat="false" ht="21.75" hidden="false" customHeight="true" outlineLevel="0" collapsed="false">
      <c r="A6" s="29" t="s">
        <v>15</v>
      </c>
      <c r="B6" s="18" t="n">
        <v>0</v>
      </c>
      <c r="C6" s="18" t="n">
        <v>0</v>
      </c>
      <c r="D6" s="19" t="n">
        <f aca="false">(B6+C6)*'⚙ Configurações'!C17</f>
        <v>0</v>
      </c>
      <c r="E6" s="23" t="n">
        <f aca="false">'⚙ Configurações'!C17</f>
        <v>0</v>
      </c>
      <c r="F6" s="18" t="n">
        <v>0</v>
      </c>
      <c r="G6" s="18" t="n">
        <v>0</v>
      </c>
      <c r="H6" s="19" t="n">
        <f aca="false">(F6+G6)*'⚙ Configurações'!D17</f>
        <v>0</v>
      </c>
      <c r="I6" s="23" t="n">
        <f aca="false">'⚙ Configurações'!D17</f>
        <v>0</v>
      </c>
      <c r="J6" s="18" t="n">
        <v>10</v>
      </c>
      <c r="K6" s="18" t="n">
        <v>5</v>
      </c>
      <c r="L6" s="19" t="n">
        <f aca="false">(J6+K6)*'⚙ Configurações'!E17</f>
        <v>3300</v>
      </c>
      <c r="M6" s="23" t="n">
        <f aca="false">'⚙ Configurações'!E17</f>
        <v>220</v>
      </c>
      <c r="N6" s="18" t="n">
        <v>0</v>
      </c>
      <c r="O6" s="18" t="n">
        <v>0</v>
      </c>
      <c r="P6" s="19" t="n">
        <f aca="false">(N6+O6)*'⚙ Configurações'!F17</f>
        <v>0</v>
      </c>
      <c r="Q6" s="23" t="n">
        <f aca="false">'⚙ Configurações'!F17</f>
        <v>0</v>
      </c>
      <c r="R6" s="18" t="n">
        <v>0</v>
      </c>
      <c r="S6" s="18" t="n">
        <v>0</v>
      </c>
      <c r="T6" s="19" t="n">
        <f aca="false">(R6+S6)*'⚙ Configurações'!G17</f>
        <v>0</v>
      </c>
      <c r="U6" s="23" t="n">
        <f aca="false">'⚙ Configurações'!G17</f>
        <v>0</v>
      </c>
      <c r="V6" s="18" t="n">
        <v>0</v>
      </c>
      <c r="W6" s="18" t="n">
        <v>0</v>
      </c>
      <c r="X6" s="19" t="n">
        <f aca="false">(V6+W6)*'⚙ Configurações'!H17</f>
        <v>0</v>
      </c>
      <c r="Y6" s="23" t="n">
        <f aca="false">'⚙ Configurações'!H17</f>
        <v>0</v>
      </c>
      <c r="Z6" s="21" t="n">
        <f aca="false">B6+F6+J6+N6+R6+V6+C6+G6+K6+O6+S6+W6</f>
        <v>15</v>
      </c>
      <c r="AA6" s="22" t="n">
        <f aca="false">D6+H6+L6+P6+T6+X6</f>
        <v>3300</v>
      </c>
    </row>
    <row r="7" customFormat="false" ht="21.75" hidden="false" customHeight="true" outlineLevel="0" collapsed="false">
      <c r="A7" s="29" t="s">
        <v>16</v>
      </c>
      <c r="B7" s="18" t="n">
        <v>0</v>
      </c>
      <c r="C7" s="18" t="n">
        <v>0</v>
      </c>
      <c r="D7" s="19" t="n">
        <f aca="false">(B7+C7)*'⚙ Configurações'!C18</f>
        <v>0</v>
      </c>
      <c r="E7" s="23" t="n">
        <f aca="false">'⚙ Configurações'!C18</f>
        <v>160</v>
      </c>
      <c r="F7" s="18" t="n">
        <v>0</v>
      </c>
      <c r="G7" s="18" t="n">
        <v>0</v>
      </c>
      <c r="H7" s="19" t="n">
        <f aca="false">(F7+G7)*'⚙ Configurações'!D18</f>
        <v>0</v>
      </c>
      <c r="I7" s="23" t="n">
        <f aca="false">'⚙ Configurações'!D18</f>
        <v>180</v>
      </c>
      <c r="J7" s="18" t="n">
        <v>0</v>
      </c>
      <c r="K7" s="18" t="n">
        <v>4</v>
      </c>
      <c r="L7" s="19" t="n">
        <f aca="false">(J7+K7)*'⚙ Configurações'!E18</f>
        <v>1400</v>
      </c>
      <c r="M7" s="23" t="n">
        <f aca="false">'⚙ Configurações'!E18</f>
        <v>350</v>
      </c>
      <c r="N7" s="18" t="n">
        <v>0</v>
      </c>
      <c r="O7" s="18" t="n">
        <v>0</v>
      </c>
      <c r="P7" s="19" t="n">
        <f aca="false">(N7+O7)*'⚙ Configurações'!F18</f>
        <v>0</v>
      </c>
      <c r="Q7" s="23" t="n">
        <f aca="false">'⚙ Configurações'!F18</f>
        <v>160</v>
      </c>
      <c r="R7" s="18" t="n">
        <v>0</v>
      </c>
      <c r="S7" s="18" t="n">
        <v>0</v>
      </c>
      <c r="T7" s="19" t="n">
        <f aca="false">(R7+S7)*'⚙ Configurações'!G18</f>
        <v>0</v>
      </c>
      <c r="U7" s="23" t="n">
        <f aca="false">'⚙ Configurações'!G18</f>
        <v>140</v>
      </c>
      <c r="V7" s="18" t="n">
        <v>0</v>
      </c>
      <c r="W7" s="18" t="n">
        <v>0</v>
      </c>
      <c r="X7" s="19" t="n">
        <f aca="false">(V7+W7)*'⚙ Configurações'!H18</f>
        <v>0</v>
      </c>
      <c r="Y7" s="23" t="n">
        <f aca="false">'⚙ Configurações'!H18</f>
        <v>140</v>
      </c>
      <c r="Z7" s="21" t="n">
        <f aca="false">B7+F7+J7+N7+R7+V7+C7+G7+K7+O7+S7+W7</f>
        <v>4</v>
      </c>
      <c r="AA7" s="22" t="n">
        <f aca="false">D7+H7+L7+P7+T7+X7</f>
        <v>1400</v>
      </c>
    </row>
    <row r="8" customFormat="false" ht="21.75" hidden="false" customHeight="true" outlineLevel="0" collapsed="false">
      <c r="A8" s="30" t="s">
        <v>48</v>
      </c>
      <c r="B8" s="25" t="n">
        <f aca="false">SUM(B4:B7)</f>
        <v>88</v>
      </c>
      <c r="C8" s="25" t="n">
        <f aca="false">SUM(C4:C7)</f>
        <v>60</v>
      </c>
      <c r="D8" s="26" t="n">
        <f aca="false">SUM(D4:D7)</f>
        <v>23680</v>
      </c>
      <c r="F8" s="25" t="n">
        <f aca="false">SUM(F4:F7)</f>
        <v>120</v>
      </c>
      <c r="G8" s="25" t="n">
        <f aca="false">SUM(G4:G7)</f>
        <v>74</v>
      </c>
      <c r="H8" s="26" t="n">
        <f aca="false">SUM(H4:H7)</f>
        <v>34920</v>
      </c>
      <c r="J8" s="25" t="n">
        <f aca="false">SUM(J4:J7)</f>
        <v>18</v>
      </c>
      <c r="K8" s="25" t="n">
        <f aca="false">SUM(K4:K7)</f>
        <v>15</v>
      </c>
      <c r="L8" s="26" t="n">
        <f aca="false">SUM(L4:L7)</f>
        <v>9180</v>
      </c>
      <c r="N8" s="25" t="n">
        <f aca="false">SUM(N4:N7)</f>
        <v>4</v>
      </c>
      <c r="O8" s="25" t="n">
        <f aca="false">SUM(O4:O7)</f>
        <v>2</v>
      </c>
      <c r="P8" s="26" t="n">
        <f aca="false">SUM(P4:P7)</f>
        <v>960</v>
      </c>
      <c r="R8" s="25" t="n">
        <f aca="false">SUM(R4:R7)</f>
        <v>0</v>
      </c>
      <c r="S8" s="25" t="n">
        <f aca="false">SUM(S4:S7)</f>
        <v>1</v>
      </c>
      <c r="T8" s="26" t="n">
        <f aca="false">SUM(T4:T7)</f>
        <v>140</v>
      </c>
      <c r="V8" s="25" t="n">
        <f aca="false">SUM(V4:V7)</f>
        <v>0</v>
      </c>
      <c r="W8" s="25" t="n">
        <f aca="false">SUM(W4:W7)</f>
        <v>1</v>
      </c>
      <c r="X8" s="26" t="n">
        <f aca="false">SUM(X4:X7)</f>
        <v>140</v>
      </c>
      <c r="Z8" s="25" t="n">
        <f aca="false">SUM(Z4:Z7)</f>
        <v>383</v>
      </c>
      <c r="AA8" s="28" t="n">
        <f aca="false">SUM(AA4:AA7)</f>
        <v>69020</v>
      </c>
    </row>
  </sheetData>
  <mergeCells count="7">
    <mergeCell ref="A1:T1"/>
    <mergeCell ref="B2:E2"/>
    <mergeCell ref="F2:I2"/>
    <mergeCell ref="J2:M2"/>
    <mergeCell ref="N2:Q2"/>
    <mergeCell ref="R2:U2"/>
    <mergeCell ref="V2:Y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10" min="2" style="0" width="17"/>
  </cols>
  <sheetData>
    <row r="1" customFormat="false" ht="16.15" hidden="false" customHeight="false" outlineLevel="0" collapsed="false">
      <c r="A1" s="1" t="s">
        <v>49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4" t="s">
        <v>50</v>
      </c>
      <c r="B2" s="4" t="s">
        <v>51</v>
      </c>
      <c r="C2" s="4" t="s">
        <v>52</v>
      </c>
      <c r="D2" s="4" t="s">
        <v>53</v>
      </c>
      <c r="E2" s="4" t="s">
        <v>54</v>
      </c>
      <c r="F2" s="4" t="s">
        <v>55</v>
      </c>
      <c r="G2" s="4" t="s">
        <v>39</v>
      </c>
      <c r="H2" s="4" t="s">
        <v>40</v>
      </c>
      <c r="I2" s="4" t="s">
        <v>56</v>
      </c>
      <c r="J2" s="4" t="s">
        <v>57</v>
      </c>
    </row>
    <row r="3" customFormat="false" ht="21.75" hidden="false" customHeight="true" outlineLevel="0" collapsed="false">
      <c r="A3" s="5" t="s">
        <v>3</v>
      </c>
      <c r="B3" s="31" t="n">
        <f aca="false">SUM('🧪 Testes por Profissional'!C4:C9)+SUM('🧪 Testes por Profissional'!D4:D9)</f>
        <v>356</v>
      </c>
      <c r="C3" s="31" t="n">
        <f aca="false">('👨‍⚕️ Wessilon'!B4+'👨‍⚕️ Wessilon'!C4)+('👨‍⚕️ Wessilon'!B5+'👨‍⚕️ Wessilon'!C5)+('👨‍⚕️ Wessilon'!B6+'👨‍⚕️ Wessilon'!C6)+('👨‍⚕️ Wessilon'!B7+'👨‍⚕️ Wessilon'!C7)</f>
        <v>148</v>
      </c>
      <c r="D3" s="21" t="n">
        <f aca="false">B3+C3</f>
        <v>504</v>
      </c>
      <c r="E3" s="19" t="n">
        <f aca="false">'🧪 Testes por Profissional'!E4+'🧪 Testes por Profissional'!E5+'🧪 Testes por Profissional'!E6+'🧪 Testes por Profissional'!E7+'🧪 Testes por Profissional'!E8+'🧪 Testes por Profissional'!E9</f>
        <v>56960</v>
      </c>
      <c r="F3" s="19" t="n">
        <f aca="false">'👨‍⚕️ Wessilon'!D4+'👨‍⚕️ Wessilon'!D5+'👨‍⚕️ Wessilon'!D6+'👨‍⚕️ Wessilon'!D7</f>
        <v>23680</v>
      </c>
      <c r="G3" s="22" t="n">
        <f aca="false">E3+F3</f>
        <v>80640</v>
      </c>
      <c r="H3" s="20" t="n">
        <f aca="false">'🧪 Testes por Profissional'!F4+'🧪 Testes por Profissional'!F5+'🧪 Testes por Profissional'!F6+'🧪 Testes por Profissional'!F7+'🧪 Testes por Profissional'!F8+'🧪 Testes por Profissional'!F9</f>
        <v>22784</v>
      </c>
      <c r="I3" s="22" t="n">
        <f aca="false">G3-H3</f>
        <v>57856</v>
      </c>
      <c r="J3" s="32" t="n">
        <f aca="false">IFERROR(I3/G3,0)</f>
        <v>0.717460317460318</v>
      </c>
    </row>
    <row r="4" customFormat="false" ht="21.75" hidden="false" customHeight="true" outlineLevel="0" collapsed="false">
      <c r="A4" s="5" t="s">
        <v>5</v>
      </c>
      <c r="B4" s="31" t="n">
        <f aca="false">SUM('🧪 Testes por Profissional'!G4:G9)+SUM('🧪 Testes por Profissional'!H4:H9)</f>
        <v>503</v>
      </c>
      <c r="C4" s="31" t="n">
        <f aca="false">('👨‍⚕️ Wessilon'!F4+'👨‍⚕️ Wessilon'!G4)+('👨‍⚕️ Wessilon'!F5+'👨‍⚕️ Wessilon'!G5)+('👨‍⚕️ Wessilon'!F6+'👨‍⚕️ Wessilon'!G6)+('👨‍⚕️ Wessilon'!F7+'👨‍⚕️ Wessilon'!G7)</f>
        <v>194</v>
      </c>
      <c r="D4" s="21" t="n">
        <f aca="false">B4+C4</f>
        <v>697</v>
      </c>
      <c r="E4" s="19" t="n">
        <f aca="false">'🧪 Testes por Profissional'!I4+'🧪 Testes por Profissional'!I5+'🧪 Testes por Profissional'!I6+'🧪 Testes por Profissional'!I7+'🧪 Testes por Profissional'!I8+'🧪 Testes por Profissional'!I9</f>
        <v>90540</v>
      </c>
      <c r="F4" s="19" t="n">
        <f aca="false">'👨‍⚕️ Wessilon'!H4+'👨‍⚕️ Wessilon'!H5+'👨‍⚕️ Wessilon'!H6+'👨‍⚕️ Wessilon'!H7</f>
        <v>34920</v>
      </c>
      <c r="G4" s="22" t="n">
        <f aca="false">E4+F4</f>
        <v>125460</v>
      </c>
      <c r="H4" s="20" t="n">
        <f aca="false">'🧪 Testes por Profissional'!J4+'🧪 Testes por Profissional'!J5+'🧪 Testes por Profissional'!J6+'🧪 Testes por Profissional'!J7+'🧪 Testes por Profissional'!J8+'🧪 Testes por Profissional'!J9</f>
        <v>36216</v>
      </c>
      <c r="I4" s="22" t="n">
        <f aca="false">G4-H4</f>
        <v>89244</v>
      </c>
      <c r="J4" s="32" t="n">
        <f aca="false">IFERROR(I4/G4,0)</f>
        <v>0.711334289813486</v>
      </c>
    </row>
    <row r="5" customFormat="false" ht="21.75" hidden="false" customHeight="true" outlineLevel="0" collapsed="false">
      <c r="A5" s="5" t="s">
        <v>6</v>
      </c>
      <c r="B5" s="31" t="n">
        <f aca="false">SUM('🧪 Testes por Profissional'!K4:K9)+SUM('🧪 Testes por Profissional'!L4:L9)</f>
        <v>51</v>
      </c>
      <c r="C5" s="31" t="n">
        <f aca="false">('👨‍⚕️ Wessilon'!J4+'👨‍⚕️ Wessilon'!K4)+('👨‍⚕️ Wessilon'!J5+'👨‍⚕️ Wessilon'!K5)+('👨‍⚕️ Wessilon'!J6+'👨‍⚕️ Wessilon'!K6)+('👨‍⚕️ Wessilon'!J7+'👨‍⚕️ Wessilon'!K7)</f>
        <v>33</v>
      </c>
      <c r="D5" s="21" t="n">
        <f aca="false">B5+C5</f>
        <v>84</v>
      </c>
      <c r="E5" s="19" t="n">
        <f aca="false">'🧪 Testes por Profissional'!M4+'🧪 Testes por Profissional'!M5+'🧪 Testes por Profissional'!M6+'🧪 Testes por Profissional'!M7+'🧪 Testes por Profissional'!M8+'🧪 Testes por Profissional'!M9</f>
        <v>17850</v>
      </c>
      <c r="F5" s="19" t="n">
        <f aca="false">'👨‍⚕️ Wessilon'!L4+'👨‍⚕️ Wessilon'!L5+'👨‍⚕️ Wessilon'!L6+'👨‍⚕️ Wessilon'!L7</f>
        <v>9180</v>
      </c>
      <c r="G5" s="22" t="n">
        <f aca="false">E5+F5</f>
        <v>27030</v>
      </c>
      <c r="H5" s="20" t="n">
        <f aca="false">'🧪 Testes por Profissional'!N4+'🧪 Testes por Profissional'!N5+'🧪 Testes por Profissional'!N6+'🧪 Testes por Profissional'!N7+'🧪 Testes por Profissional'!N8+'🧪 Testes por Profissional'!N9</f>
        <v>6580</v>
      </c>
      <c r="I5" s="22" t="n">
        <f aca="false">G5-H5</f>
        <v>20450</v>
      </c>
      <c r="J5" s="32" t="n">
        <f aca="false">IFERROR(I5/G5,0)</f>
        <v>0.756566777654458</v>
      </c>
    </row>
    <row r="6" customFormat="false" ht="21.75" hidden="false" customHeight="true" outlineLevel="0" collapsed="false">
      <c r="A6" s="5" t="s">
        <v>7</v>
      </c>
      <c r="B6" s="31" t="n">
        <f aca="false">SUM('🧪 Testes por Profissional'!O4:O9)+SUM('🧪 Testes por Profissional'!P4:P9)</f>
        <v>19</v>
      </c>
      <c r="C6" s="31" t="n">
        <f aca="false">('👨‍⚕️ Wessilon'!N4+'👨‍⚕️ Wessilon'!O4)+('👨‍⚕️ Wessilon'!N5+'👨‍⚕️ Wessilon'!O5)+('👨‍⚕️ Wessilon'!N6+'👨‍⚕️ Wessilon'!O6)+('👨‍⚕️ Wessilon'!N7+'👨‍⚕️ Wessilon'!O7)</f>
        <v>6</v>
      </c>
      <c r="D6" s="21" t="n">
        <f aca="false">B6+C6</f>
        <v>25</v>
      </c>
      <c r="E6" s="19" t="n">
        <f aca="false">'🧪 Testes por Profissional'!Q4+'🧪 Testes por Profissional'!Q5+'🧪 Testes por Profissional'!Q6+'🧪 Testes por Profissional'!Q7+'🧪 Testes por Profissional'!Q8+'🧪 Testes por Profissional'!Q9</f>
        <v>3040</v>
      </c>
      <c r="F6" s="19" t="n">
        <f aca="false">'👨‍⚕️ Wessilon'!P4+'👨‍⚕️ Wessilon'!P5+'👨‍⚕️ Wessilon'!P6+'👨‍⚕️ Wessilon'!P7</f>
        <v>960</v>
      </c>
      <c r="G6" s="22" t="n">
        <f aca="false">E6+F6</f>
        <v>4000</v>
      </c>
      <c r="H6" s="20" t="n">
        <f aca="false">'🧪 Testes por Profissional'!R4+'🧪 Testes por Profissional'!R5+'🧪 Testes por Profissional'!R6+'🧪 Testes por Profissional'!R7+'🧪 Testes por Profissional'!R8+'🧪 Testes por Profissional'!R9</f>
        <v>1216</v>
      </c>
      <c r="I6" s="22" t="n">
        <f aca="false">G6-H6</f>
        <v>2784</v>
      </c>
      <c r="J6" s="32" t="n">
        <f aca="false">IFERROR(I6/G6,0)</f>
        <v>0.696</v>
      </c>
    </row>
    <row r="7" customFormat="false" ht="21.75" hidden="false" customHeight="true" outlineLevel="0" collapsed="false">
      <c r="A7" s="5" t="s">
        <v>8</v>
      </c>
      <c r="B7" s="31" t="n">
        <f aca="false">SUM('🧪 Testes por Profissional'!S4:S9)+SUM('🧪 Testes por Profissional'!T4:T9)</f>
        <v>4</v>
      </c>
      <c r="C7" s="31" t="n">
        <f aca="false">('👨‍⚕️ Wessilon'!R4+'👨‍⚕️ Wessilon'!S4)+('👨‍⚕️ Wessilon'!R5+'👨‍⚕️ Wessilon'!S5)+('👨‍⚕️ Wessilon'!R6+'👨‍⚕️ Wessilon'!S6)+('👨‍⚕️ Wessilon'!R7+'👨‍⚕️ Wessilon'!S7)</f>
        <v>1</v>
      </c>
      <c r="D7" s="21" t="n">
        <f aca="false">B7+C7</f>
        <v>5</v>
      </c>
      <c r="E7" s="19" t="n">
        <f aca="false">'🧪 Testes por Profissional'!U4+'🧪 Testes por Profissional'!U5+'🧪 Testes por Profissional'!U6+'🧪 Testes por Profissional'!U7+'🧪 Testes por Profissional'!U8+'🧪 Testes por Profissional'!U9</f>
        <v>560</v>
      </c>
      <c r="F7" s="19" t="n">
        <f aca="false">'👨‍⚕️ Wessilon'!T4+'👨‍⚕️ Wessilon'!T5+'👨‍⚕️ Wessilon'!T6+'👨‍⚕️ Wessilon'!T7</f>
        <v>140</v>
      </c>
      <c r="G7" s="22" t="n">
        <f aca="false">E7+F7</f>
        <v>700</v>
      </c>
      <c r="H7" s="20" t="n">
        <f aca="false">'🧪 Testes por Profissional'!V4+'🧪 Testes por Profissional'!V5+'🧪 Testes por Profissional'!V6+'🧪 Testes por Profissional'!V7+'🧪 Testes por Profissional'!V8+'🧪 Testes por Profissional'!V9</f>
        <v>224</v>
      </c>
      <c r="I7" s="22" t="n">
        <f aca="false">G7-H7</f>
        <v>476</v>
      </c>
      <c r="J7" s="32" t="n">
        <f aca="false">IFERROR(I7/G7,0)</f>
        <v>0.68</v>
      </c>
    </row>
    <row r="8" customFormat="false" ht="21.75" hidden="false" customHeight="true" outlineLevel="0" collapsed="false">
      <c r="A8" s="5" t="s">
        <v>9</v>
      </c>
      <c r="B8" s="31" t="n">
        <f aca="false">SUM('🧪 Testes por Profissional'!W4:W9)+SUM('🧪 Testes por Profissional'!X4:X9)</f>
        <v>1</v>
      </c>
      <c r="C8" s="31" t="n">
        <f aca="false">('👨‍⚕️ Wessilon'!V4+'👨‍⚕️ Wessilon'!W4)+('👨‍⚕️ Wessilon'!V5+'👨‍⚕️ Wessilon'!W5)+('👨‍⚕️ Wessilon'!V6+'👨‍⚕️ Wessilon'!W6)+('👨‍⚕️ Wessilon'!V7+'👨‍⚕️ Wessilon'!W7)</f>
        <v>1</v>
      </c>
      <c r="D8" s="21" t="n">
        <f aca="false">B8+C8</f>
        <v>2</v>
      </c>
      <c r="E8" s="19" t="n">
        <f aca="false">'🧪 Testes por Profissional'!Y4+'🧪 Testes por Profissional'!Y5+'🧪 Testes por Profissional'!Y6+'🧪 Testes por Profissional'!Y7+'🧪 Testes por Profissional'!Y8+'🧪 Testes por Profissional'!Y9</f>
        <v>140</v>
      </c>
      <c r="F8" s="19" t="n">
        <f aca="false">'👨‍⚕️ Wessilon'!X4+'👨‍⚕️ Wessilon'!X5+'👨‍⚕️ Wessilon'!X6+'👨‍⚕️ Wessilon'!X7</f>
        <v>140</v>
      </c>
      <c r="G8" s="22" t="n">
        <f aca="false">E8+F8</f>
        <v>280</v>
      </c>
      <c r="H8" s="20" t="n">
        <f aca="false">'🧪 Testes por Profissional'!Z4+'🧪 Testes por Profissional'!Z5+'🧪 Testes por Profissional'!Z6+'🧪 Testes por Profissional'!Z7+'🧪 Testes por Profissional'!Z8+'🧪 Testes por Profissional'!Z9</f>
        <v>56</v>
      </c>
      <c r="I8" s="22" t="n">
        <f aca="false">G8-H8</f>
        <v>224</v>
      </c>
      <c r="J8" s="32" t="n">
        <f aca="false">IFERROR(I8/G8,0)</f>
        <v>0.8</v>
      </c>
    </row>
    <row r="9" customFormat="false" ht="21.75" hidden="false" customHeight="true" outlineLevel="0" collapsed="false">
      <c r="A9" s="33" t="s">
        <v>58</v>
      </c>
      <c r="B9" s="25" t="n">
        <f aca="false">SUM(B3:B8)</f>
        <v>934</v>
      </c>
      <c r="C9" s="25" t="n">
        <f aca="false">SUM(C3:C8)</f>
        <v>383</v>
      </c>
      <c r="D9" s="25" t="n">
        <f aca="false">SUM(D3:D8)</f>
        <v>1317</v>
      </c>
      <c r="E9" s="34" t="n">
        <f aca="false">SUM(E3:E8)</f>
        <v>169090</v>
      </c>
      <c r="F9" s="34" t="n">
        <f aca="false">SUM(F3:F8)</f>
        <v>69020</v>
      </c>
      <c r="G9" s="34" t="n">
        <f aca="false">SUM(G3:G8)</f>
        <v>238110</v>
      </c>
      <c r="H9" s="34" t="n">
        <f aca="false">SUM(H3:H8)</f>
        <v>67076</v>
      </c>
      <c r="I9" s="34" t="n">
        <f aca="false">SUM(I3:I8)</f>
        <v>171034</v>
      </c>
      <c r="J9" s="35" t="n">
        <f aca="false">IFERROR(I9/G9,0)</f>
        <v>0.718298265507539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10" min="2" style="0" width="14"/>
  </cols>
  <sheetData>
    <row r="1" customFormat="false" ht="16.15" hidden="false" customHeight="false" outlineLevel="0" collapsed="false">
      <c r="A1" s="1" t="s">
        <v>59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4" t="s">
        <v>50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  <c r="I2" s="4" t="s">
        <v>67</v>
      </c>
      <c r="J2" s="4" t="s">
        <v>68</v>
      </c>
    </row>
    <row r="3" customFormat="false" ht="21.75" hidden="false" customHeight="true" outlineLevel="0" collapsed="false">
      <c r="A3" s="5" t="s">
        <v>3</v>
      </c>
      <c r="B3" s="31" t="n">
        <f aca="false">'🧪 Testes por Profissional'!C4+'🧪 Testes por Profissional'!C5+'🧪 Testes por Profissional'!C6+'🧪 Testes por Profissional'!C7+'🧪 Testes por Profissional'!C8+'🧪 Testes por Profissional'!C9+'👨‍⚕️ Wessilon'!B4+'👨‍⚕️ Wessilon'!B5+'👨‍⚕️ Wessilon'!B6+'👨‍⚕️ Wessilon'!B7</f>
        <v>265</v>
      </c>
      <c r="C3" s="31" t="n">
        <f aca="false">'🧪 Testes por Profissional'!D4+'🧪 Testes por Profissional'!D5+'🧪 Testes por Profissional'!D6+'🧪 Testes por Profissional'!D7+'🧪 Testes por Profissional'!D8+'🧪 Testes por Profissional'!D9+'👨‍⚕️ Wessilon'!C4+'👨‍⚕️ Wessilon'!C5+'👨‍⚕️ Wessilon'!C6+'👨‍⚕️ Wessilon'!C7</f>
        <v>239</v>
      </c>
      <c r="D3" s="36" t="n">
        <f aca="false">C3-B3</f>
        <v>-26</v>
      </c>
      <c r="E3" s="19" t="n">
        <f aca="false">B3*'⚙ Configurações'!C5</f>
        <v>42400</v>
      </c>
      <c r="F3" s="19" t="n">
        <f aca="false">C3*'⚙ Configurações'!C5</f>
        <v>38240</v>
      </c>
      <c r="G3" s="23" t="n">
        <f aca="false">F3-E3</f>
        <v>-4160</v>
      </c>
      <c r="H3" s="20" t="n">
        <f aca="false">'🧪 Testes por Profissional'!C4*'⚙ Configurações'!C5*'⚙ Configurações'!D23+'🧪 Testes por Profissional'!C5*'⚙ Configurações'!C5*'⚙ Configurações'!D24+'🧪 Testes por Profissional'!C6*'⚙ Configurações'!C5*'⚙ Configurações'!D25+'🧪 Testes por Profissional'!C7*'⚙ Configurações'!C5*'⚙ Configurações'!D26+'🧪 Testes por Profissional'!C8*'⚙ Configurações'!C5*'⚙ Configurações'!D27</f>
        <v>11328</v>
      </c>
      <c r="I3" s="20" t="n">
        <f aca="false">'🧪 Testes por Profissional'!D4*'⚙ Configurações'!C5*'⚙ Configurações'!D23+'🧪 Testes por Profissional'!D5*'⚙ Configurações'!C5*'⚙ Configurações'!D24+'🧪 Testes por Profissional'!D6*'⚙ Configurações'!C5*'⚙ Configurações'!D25+'🧪 Testes por Profissional'!D7*'⚙ Configurações'!C5*'⚙ Configurações'!D26+'🧪 Testes por Profissional'!D8*'⚙ Configurações'!C5*'⚙ Configurações'!D27</f>
        <v>11456</v>
      </c>
      <c r="J3" s="23" t="n">
        <f aca="false">I3-H3</f>
        <v>128</v>
      </c>
    </row>
    <row r="4" customFormat="false" ht="21.75" hidden="false" customHeight="true" outlineLevel="0" collapsed="false">
      <c r="A4" s="5" t="s">
        <v>5</v>
      </c>
      <c r="B4" s="31" t="n">
        <f aca="false">'🧪 Testes por Profissional'!G4+'🧪 Testes por Profissional'!G5+'🧪 Testes por Profissional'!G6+'🧪 Testes por Profissional'!G7+'🧪 Testes por Profissional'!G8+'🧪 Testes por Profissional'!G9+'👨‍⚕️ Wessilon'!F4+'👨‍⚕️ Wessilon'!F5+'👨‍⚕️ Wessilon'!F6+'👨‍⚕️ Wessilon'!F7</f>
        <v>311</v>
      </c>
      <c r="C4" s="31" t="n">
        <f aca="false">'🧪 Testes por Profissional'!H4+'🧪 Testes por Profissional'!H5+'🧪 Testes por Profissional'!H6+'🧪 Testes por Profissional'!H7+'🧪 Testes por Profissional'!H8+'🧪 Testes por Profissional'!H9+'👨‍⚕️ Wessilon'!G4+'👨‍⚕️ Wessilon'!G5+'👨‍⚕️ Wessilon'!G6+'👨‍⚕️ Wessilon'!G7</f>
        <v>386</v>
      </c>
      <c r="D4" s="36" t="n">
        <f aca="false">C4-B4</f>
        <v>75</v>
      </c>
      <c r="E4" s="19" t="n">
        <f aca="false">B4*'⚙ Configurações'!C6</f>
        <v>55980</v>
      </c>
      <c r="F4" s="19" t="n">
        <f aca="false">C4*'⚙ Configurações'!C6</f>
        <v>69480</v>
      </c>
      <c r="G4" s="23" t="n">
        <f aca="false">F4-E4</f>
        <v>13500</v>
      </c>
      <c r="H4" s="20" t="n">
        <f aca="false">'🧪 Testes por Profissional'!G4*'⚙ Configurações'!C6*'⚙ Configurações'!D23+'🧪 Testes por Profissional'!G5*'⚙ Configurações'!C6*'⚙ Configurações'!D24+'🧪 Testes por Profissional'!G6*'⚙ Configurações'!C6*'⚙ Configurações'!D25+'🧪 Testes por Profissional'!G7*'⚙ Configurações'!C6*'⚙ Configurações'!D26+'🧪 Testes por Profissional'!G8*'⚙ Configurações'!C6*'⚙ Configurações'!D27</f>
        <v>13752</v>
      </c>
      <c r="I4" s="20" t="n">
        <f aca="false">'🧪 Testes por Profissional'!H4*'⚙ Configurações'!C6*'⚙ Configurações'!D23+'🧪 Testes por Profissional'!H5*'⚙ Configurações'!C6*'⚙ Configurações'!D24+'🧪 Testes por Profissional'!H6*'⚙ Configurações'!C6*'⚙ Configurações'!D25+'🧪 Testes por Profissional'!H7*'⚙ Configurações'!C6*'⚙ Configurações'!D26+'🧪 Testes por Profissional'!H8*'⚙ Configurações'!C6*'⚙ Configurações'!D27</f>
        <v>22464</v>
      </c>
      <c r="J4" s="23" t="n">
        <f aca="false">I4-H4</f>
        <v>8712</v>
      </c>
    </row>
    <row r="5" customFormat="false" ht="21.75" hidden="false" customHeight="true" outlineLevel="0" collapsed="false">
      <c r="A5" s="5" t="s">
        <v>6</v>
      </c>
      <c r="B5" s="31" t="n">
        <f aca="false">'🧪 Testes por Profissional'!K4+'🧪 Testes por Profissional'!K5+'🧪 Testes por Profissional'!K6+'🧪 Testes por Profissional'!K7+'🧪 Testes por Profissional'!K8+'🧪 Testes por Profissional'!K9+'👨‍⚕️ Wessilon'!J4+'👨‍⚕️ Wessilon'!J5+'👨‍⚕️ Wessilon'!J6+'👨‍⚕️ Wessilon'!J7</f>
        <v>45</v>
      </c>
      <c r="C5" s="31" t="n">
        <f aca="false">'🧪 Testes por Profissional'!L4+'🧪 Testes por Profissional'!L5+'🧪 Testes por Profissional'!L6+'🧪 Testes por Profissional'!L7+'🧪 Testes por Profissional'!L8+'🧪 Testes por Profissional'!L9+'👨‍⚕️ Wessilon'!K4+'👨‍⚕️ Wessilon'!K5+'👨‍⚕️ Wessilon'!K6+'👨‍⚕️ Wessilon'!K7</f>
        <v>39</v>
      </c>
      <c r="D5" s="36" t="n">
        <f aca="false">C5-B5</f>
        <v>-6</v>
      </c>
      <c r="E5" s="19" t="n">
        <f aca="false">B5*'⚙ Configurações'!C7</f>
        <v>15750</v>
      </c>
      <c r="F5" s="19" t="n">
        <f aca="false">C5*'⚙ Configurações'!C7</f>
        <v>13650</v>
      </c>
      <c r="G5" s="23" t="n">
        <f aca="false">F5-E5</f>
        <v>-2100</v>
      </c>
      <c r="H5" s="20" t="n">
        <f aca="false">'🧪 Testes por Profissional'!K4*'⚙ Configurações'!C7*'⚙ Configurações'!D23+'🧪 Testes por Profissional'!K5*'⚙ Configurações'!C7*'⚙ Configurações'!D24+'🧪 Testes por Profissional'!K6*'⚙ Configurações'!C7*'⚙ Configurações'!D25+'🧪 Testes por Profissional'!K7*'⚙ Configurações'!C7*'⚙ Configurações'!D26+'🧪 Testes por Profissional'!K8*'⚙ Configurações'!C7*'⚙ Configurações'!D27</f>
        <v>3780</v>
      </c>
      <c r="I5" s="20" t="n">
        <f aca="false">'🧪 Testes por Profissional'!L4*'⚙ Configurações'!C7*'⚙ Configurações'!D23+'🧪 Testes por Profissional'!L5*'⚙ Configurações'!C7*'⚙ Configurações'!D24+'🧪 Testes por Profissional'!L6*'⚙ Configurações'!C7*'⚙ Configurações'!D25+'🧪 Testes por Profissional'!L7*'⚙ Configurações'!C7*'⚙ Configurações'!D26+'🧪 Testes por Profissional'!L8*'⚙ Configurações'!C7*'⚙ Configurações'!D27</f>
        <v>2800</v>
      </c>
      <c r="J5" s="23" t="n">
        <f aca="false">I5-H5</f>
        <v>-980</v>
      </c>
    </row>
    <row r="6" customFormat="false" ht="21.75" hidden="false" customHeight="true" outlineLevel="0" collapsed="false">
      <c r="A6" s="5" t="s">
        <v>7</v>
      </c>
      <c r="B6" s="31" t="n">
        <f aca="false">'🧪 Testes por Profissional'!O4+'🧪 Testes por Profissional'!O5+'🧪 Testes por Profissional'!O6+'🧪 Testes por Profissional'!O7+'🧪 Testes por Profissional'!O8+'🧪 Testes por Profissional'!O9+'👨‍⚕️ Wessilon'!N4+'👨‍⚕️ Wessilon'!N5+'👨‍⚕️ Wessilon'!N6+'👨‍⚕️ Wessilon'!N7</f>
        <v>5</v>
      </c>
      <c r="C6" s="31" t="n">
        <f aca="false">'🧪 Testes por Profissional'!P4+'🧪 Testes por Profissional'!P5+'🧪 Testes por Profissional'!P6+'🧪 Testes por Profissional'!P7+'🧪 Testes por Profissional'!P8+'🧪 Testes por Profissional'!P9+'👨‍⚕️ Wessilon'!O4+'👨‍⚕️ Wessilon'!O5+'👨‍⚕️ Wessilon'!O6+'👨‍⚕️ Wessilon'!O7</f>
        <v>20</v>
      </c>
      <c r="D6" s="36" t="n">
        <f aca="false">C6-B6</f>
        <v>15</v>
      </c>
      <c r="E6" s="19" t="n">
        <f aca="false">B6*'⚙ Configurações'!C8</f>
        <v>800</v>
      </c>
      <c r="F6" s="19" t="n">
        <f aca="false">C6*'⚙ Configurações'!C8</f>
        <v>3200</v>
      </c>
      <c r="G6" s="23" t="n">
        <f aca="false">F6-E6</f>
        <v>2400</v>
      </c>
      <c r="H6" s="20" t="n">
        <f aca="false">'🧪 Testes por Profissional'!O4*'⚙ Configurações'!C8*'⚙ Configurações'!D23+'🧪 Testes por Profissional'!O5*'⚙ Configurações'!C8*'⚙ Configurações'!D24+'🧪 Testes por Profissional'!O6*'⚙ Configurações'!C8*'⚙ Configurações'!D25+'🧪 Testes por Profissional'!O7*'⚙ Configurações'!C8*'⚙ Configurações'!D26+'🧪 Testes por Profissional'!O8*'⚙ Configurações'!C8*'⚙ Configurações'!D27</f>
        <v>64</v>
      </c>
      <c r="I6" s="20" t="n">
        <f aca="false">'🧪 Testes por Profissional'!P4*'⚙ Configurações'!C8*'⚙ Configurações'!D23+'🧪 Testes por Profissional'!P5*'⚙ Configurações'!C8*'⚙ Configurações'!D24+'🧪 Testes por Profissional'!P6*'⚙ Configurações'!C8*'⚙ Configurações'!D25+'🧪 Testes por Profissional'!P7*'⚙ Configurações'!C8*'⚙ Configurações'!D26+'🧪 Testes por Profissional'!P8*'⚙ Configurações'!C8*'⚙ Configurações'!D27</f>
        <v>1152</v>
      </c>
      <c r="J6" s="23" t="n">
        <f aca="false">I6-H6</f>
        <v>1088</v>
      </c>
    </row>
    <row r="7" customFormat="false" ht="21.75" hidden="false" customHeight="true" outlineLevel="0" collapsed="false">
      <c r="A7" s="5" t="s">
        <v>8</v>
      </c>
      <c r="B7" s="31" t="n">
        <f aca="false">'🧪 Testes por Profissional'!S4+'🧪 Testes por Profissional'!S5+'🧪 Testes por Profissional'!S6+'🧪 Testes por Profissional'!S7+'🧪 Testes por Profissional'!S8+'🧪 Testes por Profissional'!S9+'👨‍⚕️ Wessilon'!R4+'👨‍⚕️ Wessilon'!R5+'👨‍⚕️ Wessilon'!R6+'👨‍⚕️ Wessilon'!R7</f>
        <v>0</v>
      </c>
      <c r="C7" s="31" t="n">
        <f aca="false">'🧪 Testes por Profissional'!T4+'🧪 Testes por Profissional'!T5+'🧪 Testes por Profissional'!T6+'🧪 Testes por Profissional'!T7+'🧪 Testes por Profissional'!T8+'🧪 Testes por Profissional'!T9+'👨‍⚕️ Wessilon'!S4+'👨‍⚕️ Wessilon'!S5+'👨‍⚕️ Wessilon'!S6+'👨‍⚕️ Wessilon'!S7</f>
        <v>5</v>
      </c>
      <c r="D7" s="36" t="n">
        <f aca="false">C7-B7</f>
        <v>5</v>
      </c>
      <c r="E7" s="19" t="n">
        <f aca="false">B7*'⚙ Configurações'!C9</f>
        <v>0</v>
      </c>
      <c r="F7" s="19" t="n">
        <f aca="false">C7*'⚙ Configurações'!C9</f>
        <v>700</v>
      </c>
      <c r="G7" s="23" t="n">
        <f aca="false">F7-E7</f>
        <v>700</v>
      </c>
      <c r="H7" s="20" t="n">
        <f aca="false">'🧪 Testes por Profissional'!S4*'⚙ Configurações'!C9*'⚙ Configurações'!D23+'🧪 Testes por Profissional'!S5*'⚙ Configurações'!C9*'⚙ Configurações'!D24+'🧪 Testes por Profissional'!S6*'⚙ Configurações'!C9*'⚙ Configurações'!D25+'🧪 Testes por Profissional'!S7*'⚙ Configurações'!C9*'⚙ Configurações'!D26+'🧪 Testes por Profissional'!S8*'⚙ Configurações'!C9*'⚙ Configurações'!D27</f>
        <v>0</v>
      </c>
      <c r="I7" s="20" t="n">
        <f aca="false">'🧪 Testes por Profissional'!T4*'⚙ Configurações'!C9*'⚙ Configurações'!D23+'🧪 Testes por Profissional'!T5*'⚙ Configurações'!C9*'⚙ Configurações'!D24+'🧪 Testes por Profissional'!T6*'⚙ Configurações'!C9*'⚙ Configurações'!D25+'🧪 Testes por Profissional'!T7*'⚙ Configurações'!C9*'⚙ Configurações'!D26+'🧪 Testes por Profissional'!T8*'⚙ Configurações'!C9*'⚙ Configurações'!D27</f>
        <v>224</v>
      </c>
      <c r="J7" s="23" t="n">
        <f aca="false">I7-H7</f>
        <v>224</v>
      </c>
    </row>
    <row r="8" customFormat="false" ht="21.75" hidden="false" customHeight="true" outlineLevel="0" collapsed="false">
      <c r="A8" s="5" t="s">
        <v>9</v>
      </c>
      <c r="B8" s="31" t="n">
        <f aca="false">'🧪 Testes por Profissional'!W4+'🧪 Testes por Profissional'!W5+'🧪 Testes por Profissional'!W6+'🧪 Testes por Profissional'!W7+'🧪 Testes por Profissional'!W8+'🧪 Testes por Profissional'!W9+'👨‍⚕️ Wessilon'!V4+'👨‍⚕️ Wessilon'!V5+'👨‍⚕️ Wessilon'!V6+'👨‍⚕️ Wessilon'!V7</f>
        <v>0</v>
      </c>
      <c r="C8" s="31" t="n">
        <f aca="false">'🧪 Testes por Profissional'!X4+'🧪 Testes por Profissional'!X5+'🧪 Testes por Profissional'!X6+'🧪 Testes por Profissional'!X7+'🧪 Testes por Profissional'!X8+'🧪 Testes por Profissional'!X9+'👨‍⚕️ Wessilon'!W4+'👨‍⚕️ Wessilon'!W5+'👨‍⚕️ Wessilon'!W6+'👨‍⚕️ Wessilon'!W7</f>
        <v>2</v>
      </c>
      <c r="D8" s="36" t="n">
        <f aca="false">C8-B8</f>
        <v>2</v>
      </c>
      <c r="E8" s="19" t="n">
        <f aca="false">B8*'⚙ Configurações'!C10</f>
        <v>0</v>
      </c>
      <c r="F8" s="19" t="n">
        <f aca="false">C8*'⚙ Configurações'!C10</f>
        <v>280</v>
      </c>
      <c r="G8" s="23" t="n">
        <f aca="false">F8-E8</f>
        <v>280</v>
      </c>
      <c r="H8" s="20" t="n">
        <f aca="false">'🧪 Testes por Profissional'!W4*'⚙ Configurações'!C10*'⚙ Configurações'!D23+'🧪 Testes por Profissional'!W5*'⚙ Configurações'!C10*'⚙ Configurações'!D24+'🧪 Testes por Profissional'!W6*'⚙ Configurações'!C10*'⚙ Configurações'!D25+'🧪 Testes por Profissional'!W7*'⚙ Configurações'!C10*'⚙ Configurações'!D26+'🧪 Testes por Profissional'!W8*'⚙ Configurações'!C10*'⚙ Configurações'!D27</f>
        <v>0</v>
      </c>
      <c r="I8" s="20" t="n">
        <f aca="false">'🧪 Testes por Profissional'!X4*'⚙ Configurações'!C10*'⚙ Configurações'!D23+'🧪 Testes por Profissional'!X5*'⚙ Configurações'!C10*'⚙ Configurações'!D24+'🧪 Testes por Profissional'!X6*'⚙ Configurações'!C10*'⚙ Configurações'!D25+'🧪 Testes por Profissional'!X7*'⚙ Configurações'!C10*'⚙ Configurações'!D26+'🧪 Testes por Profissional'!X8*'⚙ Configurações'!C10*'⚙ Configurações'!D27</f>
        <v>56</v>
      </c>
      <c r="J8" s="23" t="n">
        <f aca="false">I8-H8</f>
        <v>56</v>
      </c>
    </row>
    <row r="9" customFormat="false" ht="21.75" hidden="false" customHeight="true" outlineLevel="0" collapsed="false">
      <c r="A9" s="33" t="s">
        <v>48</v>
      </c>
      <c r="B9" s="25" t="n">
        <f aca="false">SUM(B3:B8)</f>
        <v>626</v>
      </c>
      <c r="C9" s="25" t="n">
        <f aca="false">SUM(C3:C8)</f>
        <v>691</v>
      </c>
      <c r="D9" s="25" t="n">
        <f aca="false">SUM(D3:D8)</f>
        <v>65</v>
      </c>
      <c r="E9" s="26" t="n">
        <f aca="false">SUM(E3:E8)</f>
        <v>114930</v>
      </c>
      <c r="F9" s="26" t="n">
        <f aca="false">SUM(F3:F8)</f>
        <v>125550</v>
      </c>
      <c r="G9" s="37" t="n">
        <f aca="false">SUM(G3:G8)</f>
        <v>10620</v>
      </c>
      <c r="H9" s="27" t="n">
        <f aca="false">SUM(H3:H8)</f>
        <v>28924</v>
      </c>
      <c r="I9" s="27" t="n">
        <f aca="false">SUM(I3:I8)</f>
        <v>38152</v>
      </c>
      <c r="J9" s="37" t="n">
        <f aca="false">SUM(J3:J8)</f>
        <v>9228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2026-04-15T00:23:10Z</dcterms:created>
  <dc:creator>openpyxl</dc:creator>
  <dc:description/>
  <dc:language>en-US</dc:language>
  <cp:lastModifiedBy/>
  <dcterms:modified xsi:type="dcterms:W3CDTF">2026-04-15T00:23:10Z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